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wangjenna/Documents/ChatGPT/AgenticAI_Class 2/spotify-pipeline/outputs/01a10e0d-96d4-7680-90ab-56067eadcf1d/"/>
    </mc:Choice>
  </mc:AlternateContent>
  <xr:revisionPtr revIDLastSave="0" documentId="13_ncr:1_{4DC14835-669A-6F4D-911E-BEB48A9E7EE1}" xr6:coauthVersionLast="47" xr6:coauthVersionMax="47" xr10:uidLastSave="{00000000-0000-0000-0000-000000000000}"/>
  <bookViews>
    <workbookView xWindow="0" yWindow="660" windowWidth="14720" windowHeight="16900" xr2:uid="{00000000-000D-0000-FFFF-FFFF00000000}"/>
  </bookViews>
  <sheets>
    <sheet name="标注" sheetId="1" r:id="rId1"/>
    <sheet name="填写说明" sheetId="2" r:id="rId2"/>
    <sheet name="原始数据" sheetId="3" r:id="rId3"/>
  </sheets>
  <definedNames>
    <definedName name="_xlnm._FilterDatabase" localSheetId="0" hidden="1">标注!$A$1:$L$55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5" i="1" l="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C3" i="1" l="1"/>
</calcChain>
</file>

<file path=xl/sharedStrings.xml><?xml version="1.0" encoding="utf-8"?>
<sst xmlns="http://schemas.openxmlformats.org/spreadsheetml/2006/main" count="617" uniqueCount="285">
  <si>
    <t>Golden 50 人工标注</t>
  </si>
  <si>
    <t>只填黄色栏；按原文独立判断。原始星数不作为标签依据。</t>
  </si>
  <si>
    <t>已填齐 / 总数（仅检查七栏是否非空）</t>
  </si>
  <si>
    <t>字段解释与评分边界见「填写说明」。填好后保存此 Excel。</t>
  </si>
  <si>
    <t>序号</t>
  </si>
  <si>
    <t>review_text</t>
  </si>
  <si>
    <t>topic</t>
  </si>
  <si>
    <t>intent</t>
  </si>
  <si>
    <t>severity</t>
  </si>
  <si>
    <t>sentiment</t>
  </si>
  <si>
    <t>needs_review</t>
  </si>
  <si>
    <t>entities</t>
  </si>
  <si>
    <t>evidence_quote</t>
  </si>
  <si>
    <t>备注（选填）</t>
  </si>
  <si>
    <t>填写进度</t>
  </si>
  <si>
    <t>review_id</t>
  </si>
  <si>
    <t>Staff must be full of mentally ill kool-aid heads. Banning conservative music that speaks truth. Spotify is doing all they can to protect pedophiles, by banning Christian songs discussing the path the devil leads you down. Pride is a sin.</t>
  </si>
  <si>
    <t>292ce26a-815d-4bce-a3b6-93cb6c9e7e2c</t>
  </si>
  <si>
    <t>Great app use it every chance I get</t>
  </si>
  <si>
    <t>a70e8d3e-3f84-46bc-b008-67f476c67963</t>
  </si>
  <si>
    <t>It's really an amazing experience with Spotify...I love it🥰</t>
  </si>
  <si>
    <t>0d4f8b48-74c1-4e2a-89b5-11eaa737027e</t>
  </si>
  <si>
    <t>Ads were okay, but limited functionality..it's just too much</t>
  </si>
  <si>
    <t>991b6b3a-f511-458a-a5b7-234f78048fb5</t>
  </si>
  <si>
    <t>I just loved it</t>
  </si>
  <si>
    <t>599a0d41-989a-40ef-8ed2-e92db76eea46</t>
  </si>
  <si>
    <t>Hate this application 🤮🤮🤮🤮🤮🤮</t>
  </si>
  <si>
    <t>0c6ca545-3f89-4da6-b3db-1a352371fb6e</t>
  </si>
  <si>
    <t>Excellent</t>
  </si>
  <si>
    <t>111f9048-f7bd-4be0-813e-76b8fc49f73f</t>
  </si>
  <si>
    <t>good ❤❤🔊🔊</t>
  </si>
  <si>
    <t>b567f70c-edba-4922-ac2a-e945e5eb3472</t>
  </si>
  <si>
    <t>Spotify is awesome and and very diverse :)</t>
  </si>
  <si>
    <t>b5ee7834-a0eb-4c15-9c7b-935831021922</t>
  </si>
  <si>
    <t>Duo Premium .... No ads at all!</t>
  </si>
  <si>
    <t>1fc8b08f-7d6a-472f-b317-8ceb28d00f22</t>
  </si>
  <si>
    <t>Very good but wen I play my song it o ly plays a little bit then it stops I updated my phone and it worked but it happend again they need to fix this issue</t>
  </si>
  <si>
    <t>947821dc-b356-45dc-a0bc-1903728fad40</t>
  </si>
  <si>
    <t>Update: I reached out to Spotify Support and with some help from Sarah I was able to get the app working again. Old Post:Normally, the app works great, and I use it constantly. I tried to open it today, and it keeps crashing every time. I've tried uninstalling and reinstalling, and updating. Nothing seems to work unfortunately.</t>
  </si>
  <si>
    <t>723f07de-9881-4049-8680-1a9e25652914</t>
  </si>
  <si>
    <t>This app is bad work</t>
  </si>
  <si>
    <t>47428620-ec21-424d-a515-0b0b0012a5cf</t>
  </si>
  <si>
    <t>Great...</t>
  </si>
  <si>
    <t>fc344263-308d-48a1-9715-c380d063b6de</t>
  </si>
  <si>
    <t>Super</t>
  </si>
  <si>
    <t>6112667b-3d71-475c-b1a4-159b87f73d2b</t>
  </si>
  <si>
    <t>I like it but god I hate it when the music Interrupts my ads</t>
  </si>
  <si>
    <t>01d453b0-dca3-42e9-8aa4-5fc167b08070</t>
  </si>
  <si>
    <t>Lhat ng song nasa spotify</t>
  </si>
  <si>
    <t>ac6cd66d-a9d2-42a4-afb8-2f84beff7fd1</t>
  </si>
  <si>
    <t>Avtar sungh</t>
  </si>
  <si>
    <t>44129679-31a0-4108-9314-086a3456f6ae</t>
  </si>
  <si>
    <t>asem, lirik nya kdang gaada kek mana??</t>
  </si>
  <si>
    <t>46842184-32f8-4088-ac15-2a700a7e94ed</t>
  </si>
  <si>
    <t>Hate This application 👎</t>
  </si>
  <si>
    <t>657f1b77-0183-4b06-bf48-5e6d9ab08f9a</t>
  </si>
  <si>
    <t>We are boycotting Swedish app in our protest against Sweden for their desrecpect &amp; desceration of our holy book Qur'an</t>
  </si>
  <si>
    <t>5de7f95b-ccad-41b2-9f63-a13f7c1d9f09</t>
  </si>
  <si>
    <t>I LOVE that I was able to put in only a few songs I like and Spotify gave me recommendations for an AWESOME Playlist...!!!</t>
  </si>
  <si>
    <t>de48c99b-46fe-4837-8634-e63dbc72a5ea</t>
  </si>
  <si>
    <t>I absolutely love Spotify, to me is one of the best Music Apps. Great job Spotify!!!</t>
  </si>
  <si>
    <t>aa573851-0b86-4b1b-adf6-210268c08d2a</t>
  </si>
  <si>
    <t>Please ye ads ko thoda kumm Karo harr ek song ke baad ad 🙏🙄</t>
  </si>
  <si>
    <t>372d4e67-59cc-4c54-879f-3e8a202ee554</t>
  </si>
  <si>
    <t>Very poor updates as we cannot playback the songs and most bad updates are happening it is affecting the spotify quality</t>
  </si>
  <si>
    <t>47f1406d-4918-4d60-9647-5ca8e610caca</t>
  </si>
  <si>
    <t>Awesomeness 👌 👏 👍 😍 💖</t>
  </si>
  <si>
    <t>82780cbe-6435-4efb-84f6-8e5fa47ffc3a</t>
  </si>
  <si>
    <t>Bheekhmangon</t>
  </si>
  <si>
    <t>36609c5c-fe48-4459-86b8-cc78fd3c77cd</t>
  </si>
  <si>
    <t>Unconditional love, Stoli Canales</t>
  </si>
  <si>
    <t>f4c8146a-d5c8-4168-b00e-21af666afc6a</t>
  </si>
  <si>
    <t>Deleting this App. The new update suck, we can't choose our fvrt songs after some clicks, we can't CHOOSE song after a song played, and we can't turn off shuffle option. They are pushing us to upgrade to Premium subscription. No wonder if you guys loose ratings and users. Anyway i am deleting this app after years of using.</t>
  </si>
  <si>
    <t>3ddb3f4e-f7b9-430b-b335-eadc6d321f46</t>
  </si>
  <si>
    <t>It's my best music app but now it's not...everything basic features is premium....</t>
  </si>
  <si>
    <t>16d640e9-b281-4746-9562-c7dbcf7126b6</t>
  </si>
  <si>
    <t>I hate this app and sweden .I love islam</t>
  </si>
  <si>
    <t>8cc4fad4-26ec-47b7-96e8-49c7da714eca</t>
  </si>
  <si>
    <t>What is happening with Spotify?? Recently I'm trying to play a song but it doesn't working. So I unstalled and thn again install it now I can't even open the app.. Just showing try again?? I really loved Spotify but this making me to rate it 1 star plz fix the problm as fast as u can</t>
  </si>
  <si>
    <t>215463ae-95b7-4481-8747-1754b68f31fa</t>
  </si>
  <si>
    <t>Are you out of your mind? This is dangerous! Listening to music in a normal volume and suddenly an add starts and my ears feel like they explode!! Stop this BS, or you're gonna destroy someones ears.</t>
  </si>
  <si>
    <t>46c0b49f-83a1-427e-8f0b-cef62e3c94b5</t>
  </si>
  <si>
    <t>Beth, we all got to give me a free dollar to go with 3 months, bro I can't be like</t>
  </si>
  <si>
    <t>283b5843-a992-464f-b1dc-9dc7281ff390</t>
  </si>
  <si>
    <t>Good</t>
  </si>
  <si>
    <t>1d15724a-98ff-400a-8083-0d9afc801098</t>
  </si>
  <si>
    <t>Good app!</t>
  </si>
  <si>
    <t>89ea724c-358f-48ab-9516-cd130d21c471</t>
  </si>
  <si>
    <t>Nice app, very less advertising</t>
  </si>
  <si>
    <t>2aa566c6-b98d-4513-b900-83702a8db8eb</t>
  </si>
  <si>
    <t>1-Lyrics not getting loaded, 2-can't go back to or start song where to wanted. Pathetic update</t>
  </si>
  <si>
    <t>8c0546b0-ce43-4a36-9d33-9f979e98d522</t>
  </si>
  <si>
    <t>Phenomenal</t>
  </si>
  <si>
    <t>a972945c-6601-4108-882a-afe986866a7b</t>
  </si>
  <si>
    <t>8fd3dd72-5535-40f6-8779-1bd60892131e</t>
  </si>
  <si>
    <t>The only thing Spotify lacks is the ability to organize saved 
albums/artists into collections. Would definitely deserve 5 stars if it 
included this feature.</t>
  </si>
  <si>
    <t>b58dd6f0-ad88-4319-b6db-58afb60c37c1</t>
  </si>
  <si>
    <t>Worst application 👎👎👎</t>
  </si>
  <si>
    <t>1a41c7e1-a655-4c63-b4db-c22bdff18003</t>
  </si>
  <si>
    <t>I gave one star because I can't give any less than that. the new update is sooooooo annoying like I can't even play the songs that I like and I can't rewind songs what the heck</t>
  </si>
  <si>
    <t>dceb14e7-2df0-422f-bb2b-73d7c373159a</t>
  </si>
  <si>
    <t>I find Spotify very good, it finds and play whatever music you want and also adds songs that you might like, judging from your playlist if you choose to arrange one. 😊💃🎸🎶</t>
  </si>
  <si>
    <t>5fba12ea-4980-4f25-a129-f830a3974fd2</t>
  </si>
  <si>
    <t>paying for subscribing but unable to play in offline mode really?</t>
  </si>
  <si>
    <t>ac4e860a-c042-49cc-90f3-189591c336ac</t>
  </si>
  <si>
    <t>Worst app ever too much ad</t>
  </si>
  <si>
    <t>9034d675-9582-49b6-a1c1-c4ddabf8baf1</t>
  </si>
  <si>
    <t>Too expensive and the free version is pretty much unusable with constant ads... Every two or three songs.. Forget it</t>
  </si>
  <si>
    <t>d2f3874f-d15d-4a2f-bb97-4f1213defa46</t>
  </si>
  <si>
    <t>This update very bad for everyone.old Spotify. we all want.</t>
  </si>
  <si>
    <t>99b93e31-9f15-4daa-88ac-349ab0419c48</t>
  </si>
  <si>
    <t>I'm loving the experience with the app</t>
  </si>
  <si>
    <t>ca63dfbe-7120-4e18-af6e-8ea786cd157d</t>
  </si>
  <si>
    <t>best app ever</t>
  </si>
  <si>
    <t>083811c7-d469-499b-9bef-5b9fb096653d</t>
  </si>
  <si>
    <t>填写说明</t>
  </si>
  <si>
    <t>字段 / 规则</t>
  </si>
  <si>
    <t>定义</t>
  </si>
  <si>
    <t>填写提示</t>
  </si>
  <si>
    <t>标注方式</t>
  </si>
  <si>
    <t>学生独立完成全部 50 条。七个标签栏均需填写。</t>
  </si>
  <si>
    <t>黄色为可填写栏；备注可空。不要先看模型预测。</t>
  </si>
  <si>
    <t>选择最重要、影响最严重的具体问题；同等影响时选先提到的。</t>
  </si>
  <si>
    <t>仅赞美时选第一个具体功能；泛泛赞美选 other。</t>
  </si>
  <si>
    <t>access</t>
  </si>
  <si>
    <t>登录、注册、密码或账号进入。</t>
  </si>
  <si>
    <t>按 review_text 判断。</t>
  </si>
  <si>
    <t>usability</t>
  </si>
  <si>
    <t>界面、控件、导航、队列/歌单管理、广告打断。</t>
  </si>
  <si>
    <t>队列或播放顺序控制通常属于此类。</t>
  </si>
  <si>
    <t>playback</t>
  </si>
  <si>
    <t>播放失败、崩溃、卡顿、连接失败、音质或资源占用。</t>
  </si>
  <si>
    <t>功能受限与播放失败要区分。</t>
  </si>
  <si>
    <t>downloads</t>
  </si>
  <si>
    <t>下载、离线播放、已保存歌曲或下载丢失。</t>
  </si>
  <si>
    <t>catalog</t>
  </si>
  <si>
    <t>缺少歌曲/艺人、搜索发现、推荐或歌词。</t>
  </si>
  <si>
    <t>billing</t>
  </si>
  <si>
    <t>价格、扣费、订阅、付费墙、premium 权益或明确付费专属控制。</t>
  </si>
  <si>
    <t>只是提到自己已付费，不足以判为 billing。</t>
  </si>
  <si>
    <t>support</t>
  </si>
  <si>
    <t>联系支持团队或支持回复质量。</t>
  </si>
  <si>
    <t>other</t>
  </si>
  <si>
    <t>无具体功能，或以上类别不适用。</t>
  </si>
  <si>
    <t>优先顺序：cancellation &gt; complaint &gt; request &gt; praise &gt; unclear。</t>
  </si>
  <si>
    <t>取消/离开意图优先；混合赞美与批评按 complaint。</t>
  </si>
  <si>
    <t>cancellation</t>
  </si>
  <si>
    <t>明确个人离开、卸载、取消或威胁离开的意图。</t>
  </si>
  <si>
    <t>口号或抵制字样本身不足。</t>
  </si>
  <si>
    <t>severity 1</t>
  </si>
  <si>
    <t>没有报告问题、赞美、不清楚或纯功能请求。</t>
  </si>
  <si>
    <t>严重程度只看文本支持的影响。</t>
  </si>
  <si>
    <t>severity 2</t>
  </si>
  <si>
    <t>困扰或笼统批评，没有明确功能受限。</t>
  </si>
  <si>
    <t>愤怒语气、低星数不自动提高严重程度。</t>
  </si>
  <si>
    <t>severity 3</t>
  </si>
  <si>
    <t>功能退化或受限，但仍能部分使用。</t>
  </si>
  <si>
    <t>severity 4</t>
  </si>
  <si>
    <t>核心任务明确受阻。</t>
  </si>
  <si>
    <t>severity 5</t>
  </si>
  <si>
    <t>明确严重财务、隐私或数据损害。</t>
  </si>
  <si>
    <t>价格贵本身不是严重财务损害。</t>
  </si>
  <si>
    <t>填 -1 到 1 的数字。负面为负，正面为正，中性/混合/不清楚接近 0。</t>
  </si>
  <si>
    <t>可使用小数，例如 -0.5；不要用星数代替。</t>
  </si>
  <si>
    <t>歧义、信息不足或语言难以理解，导致标签判断不可靠时选 true。</t>
  </si>
  <si>
    <t>仍填最佳标签；可在备注说明原因。</t>
  </si>
  <si>
    <t>填 JSON 字符串数组；每一项必须逐字出现在原文中。</t>
  </si>
  <si>
    <t>无明确实体时填 []。保留原文大小写，不改写名称。</t>
  </si>
  <si>
    <t>逐字复制一个支持标签的非空原文片段。</t>
  </si>
  <si>
    <t>短评论可以复制全文；不要自行总结。</t>
  </si>
  <si>
    <t>只反映七栏是否非空，不代表答案正确或格式有效。</t>
  </si>
  <si>
    <t>保存后程序还会检查范围、实体、引用和原始 ID。</t>
  </si>
  <si>
    <t>原始数据</t>
  </si>
  <si>
    <t>原始六栏单独保存在「原始数据」，请勿修改。</t>
  </si>
  <si>
    <t>标注页原文和 review_id 也需保持不变。</t>
  </si>
  <si>
    <t>保持独立</t>
  </si>
  <si>
    <t>人工答案用于离线评估，不进入模型提示，也不用于调 prompt。</t>
  </si>
  <si>
    <t>不根据模型输出改成人机一致。</t>
  </si>
  <si>
    <t>来源文件</t>
  </si>
  <si>
    <t>golden_50_to_label.csv，课程提供的 50 条原始评论。</t>
  </si>
  <si>
    <t>本文档没有预填人工标签或模型预测。</t>
  </si>
  <si>
    <t>来源链接</t>
  </si>
  <si>
    <t>https://drive.google.com/file/d/1P0rUoAS_wVjp3BYKqXMEyD4u0uJP1Bvf/view</t>
  </si>
  <si>
    <t>分类规则来自课程 GRADING_CONTRACT.md。</t>
  </si>
  <si>
    <t>review_rating</t>
  </si>
  <si>
    <t>review_likes</t>
  </si>
  <si>
    <t>app_version</t>
  </si>
  <si>
    <t>review_timestamp</t>
  </si>
  <si>
    <t>1</t>
  </si>
  <si>
    <t>8.7.40.777</t>
  </si>
  <si>
    <t>2022-06-21 20:13:46</t>
  </si>
  <si>
    <t>5</t>
  </si>
  <si>
    <t>0</t>
  </si>
  <si>
    <t>8.8.66.563</t>
  </si>
  <si>
    <t>2023-09-24 21:01:09</t>
  </si>
  <si>
    <t>8.8.68.565</t>
  </si>
  <si>
    <t>2023-09-28 08:06:22</t>
  </si>
  <si>
    <t>8.8.76.667</t>
  </si>
  <si>
    <t>2023-10-14 05:58:07</t>
  </si>
  <si>
    <t>8.8.6.472</t>
  </si>
  <si>
    <t>2023-02-05 00:50:53</t>
  </si>
  <si>
    <t>2023-07-07 22:13:54</t>
  </si>
  <si>
    <t>8.7.78.373</t>
  </si>
  <si>
    <t>2022-11-13 18:52:23</t>
  </si>
  <si>
    <t>2022-06-24 23:34:51</t>
  </si>
  <si>
    <t>8.8.74.652</t>
  </si>
  <si>
    <t>2023-09-29 15:18:24</t>
  </si>
  <si>
    <t>8.7.68.568</t>
  </si>
  <si>
    <t>2022-09-26 16:32:29</t>
  </si>
  <si>
    <t>3</t>
  </si>
  <si>
    <t>8.7.56.421</t>
  </si>
  <si>
    <t>2022-08-16 23:36:02</t>
  </si>
  <si>
    <t>13</t>
  </si>
  <si>
    <t>8.8.58.473</t>
  </si>
  <si>
    <t>2023-08-06 01:09:49</t>
  </si>
  <si>
    <t>2023-03-14 03:56:43</t>
  </si>
  <si>
    <t>8.8.2.434</t>
  </si>
  <si>
    <t>2023-02-10 18:26:42</t>
  </si>
  <si>
    <t>2022-05-31 10:50:59</t>
  </si>
  <si>
    <t>4</t>
  </si>
  <si>
    <t>8.8.62.491</t>
  </si>
  <si>
    <t>2023-08-18 10:10:02</t>
  </si>
  <si>
    <t>2023-03-26 16:32:33</t>
  </si>
  <si>
    <t>8.8.80.599</t>
  </si>
  <si>
    <t>2023-11-06 22:32:23</t>
  </si>
  <si>
    <t>8.7.30.1221</t>
  </si>
  <si>
    <t>2023-09-29 15:11:18</t>
  </si>
  <si>
    <t>2023-07-07 05:06:07</t>
  </si>
  <si>
    <t>8.8.40.470</t>
  </si>
  <si>
    <t>2023-07-08 12:37:12</t>
  </si>
  <si>
    <t>8.7.54.403</t>
  </si>
  <si>
    <t>2022-08-11 16:19:47</t>
  </si>
  <si>
    <t>2023-08-25 00:58:54</t>
  </si>
  <si>
    <t>8.6.74.1176</t>
  </si>
  <si>
    <t>2022-12-05 07:47:16</t>
  </si>
  <si>
    <t>8.8.70.532</t>
  </si>
  <si>
    <t>2023-09-21 07:14:22</t>
  </si>
  <si>
    <t>2022-09-29 08:28:34</t>
  </si>
  <si>
    <t>2023-10-10 07:52:54</t>
  </si>
  <si>
    <t>2023-01-20 20:40:02</t>
  </si>
  <si>
    <t>2023-09-12 00:53:14</t>
  </si>
  <si>
    <t>8.8.78.587</t>
  </si>
  <si>
    <t>2023-10-17 23:20:17</t>
  </si>
  <si>
    <t>2023-07-10 06:07:03</t>
  </si>
  <si>
    <t>8.7.90.544</t>
  </si>
  <si>
    <t>2022-12-10 08:06:48</t>
  </si>
  <si>
    <t>8.8.54.481</t>
  </si>
  <si>
    <t>2023-07-19 16:15:07</t>
  </si>
  <si>
    <t>8.8.26.408</t>
  </si>
  <si>
    <t>2023-05-29 00:28:41</t>
  </si>
  <si>
    <t>8.7.52.1010</t>
  </si>
  <si>
    <t>2022-08-07 00:10:55</t>
  </si>
  <si>
    <t>2022-08-08 12:41:08</t>
  </si>
  <si>
    <t>8.8.28.409</t>
  </si>
  <si>
    <t>2023-04-29 08:28:55</t>
  </si>
  <si>
    <t>2023-10-17 05:47:34</t>
  </si>
  <si>
    <t>2023-10-30 17:47:51</t>
  </si>
  <si>
    <t>8.7.48.1062</t>
  </si>
  <si>
    <t>2022-07-26 10:24:26</t>
  </si>
  <si>
    <t>8.7.44.968</t>
  </si>
  <si>
    <t>2022-07-07 17:04:53</t>
  </si>
  <si>
    <t>2023-07-07 11:45:16</t>
  </si>
  <si>
    <t>2023-10-18 09:38:13</t>
  </si>
  <si>
    <t>8.7.58.455</t>
  </si>
  <si>
    <t>2022-08-23 15:15:54</t>
  </si>
  <si>
    <t>2</t>
  </si>
  <si>
    <t>2022-08-22 03:25:59</t>
  </si>
  <si>
    <t>8.7.78.383</t>
  </si>
  <si>
    <t>2022-11-11 00:18:06</t>
  </si>
  <si>
    <t>2023-09-22 23:48:41</t>
  </si>
  <si>
    <t>2023-04-13 12:03:21</t>
  </si>
  <si>
    <t>2023-10-07 05:32:37</t>
  </si>
  <si>
    <t>8.8.82.634</t>
  </si>
  <si>
    <t>2023-11-15 13:31:03</t>
  </si>
  <si>
    <t>unclear</t>
  </si>
  <si>
    <t>praise</t>
  </si>
  <si>
    <t>complaint</t>
  </si>
  <si>
    <t>request</t>
  </si>
  <si>
    <t>Premium</t>
  </si>
  <si>
    <t>Ads</t>
  </si>
  <si>
    <t>Spotify</t>
  </si>
  <si>
    <t>Ad</t>
  </si>
  <si>
    <t>App</t>
  </si>
  <si>
    <t>Premium, App</t>
  </si>
  <si>
    <t>App, Spotify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</si>
</sst>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1"/>
      <color rgb="FF253247"/>
      <name val="Helvetica Neue"/>
      <family val="2"/>
    </font>
    <font>
      <b/>
      <sz val="18"/>
      <color rgb="FF253247"/>
      <name val="Helvetica Neue"/>
      <family val="2"/>
    </font>
    <font>
      <b/>
      <sz val="11"/>
      <color rgb="FFFFFFFF"/>
      <name val="Helvetica Neue"/>
      <family val="2"/>
    </font>
    <font>
      <b/>
      <sz val="11"/>
      <color rgb="FF253247"/>
      <name val="Helvetica Neue"/>
      <family val="2"/>
    </font>
  </fonts>
  <fills count="6">
    <fill>
      <patternFill patternType="none"/>
    </fill>
    <fill>
      <patternFill patternType="gray125"/>
    </fill>
    <fill>
      <patternFill patternType="solid">
        <fgColor rgb="FF263449"/>
      </patternFill>
    </fill>
    <fill>
      <patternFill patternType="solid">
        <fgColor rgb="FFFFF3CC"/>
      </patternFill>
    </fill>
    <fill>
      <patternFill patternType="solid">
        <fgColor rgb="FFF4F6F9"/>
      </patternFill>
    </fill>
    <fill>
      <patternFill patternType="solid">
        <fgColor rgb="FFFFF3CC"/>
        <bgColor rgb="FF000000"/>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vertical="top"/>
    </xf>
    <xf numFmtId="0" fontId="2" fillId="0" borderId="0" xfId="0" applyFont="1" applyAlignment="1">
      <alignment vertical="top"/>
    </xf>
    <xf numFmtId="0" fontId="1" fillId="0" borderId="0" xfId="0" applyFont="1" applyAlignment="1">
      <alignment vertical="top" wrapText="1"/>
    </xf>
    <xf numFmtId="0" fontId="3" fillId="2" borderId="0" xfId="0" applyFont="1" applyFill="1" applyAlignment="1">
      <alignment vertical="top" wrapText="1"/>
    </xf>
    <xf numFmtId="0" fontId="1" fillId="3" borderId="0" xfId="0" applyFont="1" applyFill="1" applyAlignment="1">
      <alignment vertical="top" wrapText="1"/>
    </xf>
    <xf numFmtId="0" fontId="1" fillId="4" borderId="0" xfId="0" applyFont="1" applyFill="1" applyAlignment="1">
      <alignment vertical="top"/>
    </xf>
    <xf numFmtId="49" fontId="1" fillId="4" borderId="0" xfId="0" applyNumberFormat="1" applyFont="1" applyFill="1" applyAlignment="1">
      <alignment vertical="top" wrapText="1"/>
    </xf>
    <xf numFmtId="49" fontId="1" fillId="4" borderId="0" xfId="0" applyNumberFormat="1" applyFont="1" applyFill="1" applyAlignment="1">
      <alignment vertical="top"/>
    </xf>
    <xf numFmtId="1" fontId="1" fillId="3" borderId="0" xfId="0" applyNumberFormat="1" applyFont="1" applyFill="1" applyAlignment="1">
      <alignment vertical="top" wrapText="1"/>
    </xf>
    <xf numFmtId="2" fontId="1" fillId="3" borderId="0" xfId="0" applyNumberFormat="1" applyFont="1" applyFill="1" applyAlignment="1">
      <alignment vertical="top" wrapText="1"/>
    </xf>
    <xf numFmtId="0" fontId="4" fillId="0" borderId="0" xfId="0" applyFont="1" applyAlignment="1">
      <alignment vertical="top" wrapText="1"/>
    </xf>
    <xf numFmtId="49" fontId="3" fillId="2" borderId="0" xfId="0" applyNumberFormat="1" applyFont="1" applyFill="1" applyAlignment="1">
      <alignment vertical="top" wrapText="1"/>
    </xf>
    <xf numFmtId="49" fontId="1" fillId="0" borderId="0" xfId="0" applyNumberFormat="1" applyFont="1" applyAlignment="1">
      <alignment vertical="top" wrapText="1"/>
    </xf>
    <xf numFmtId="1" fontId="1" fillId="5" borderId="0" xfId="0" applyNumberFormat="1" applyFont="1" applyFill="1" applyAlignment="1">
      <alignment vertical="top" wrapText="1"/>
    </xf>
  </cellXfs>
  <cellStyles count="1">
    <cellStyle name="Normal" xfId="0" builtinId="0"/>
  </cellStyles>
  <dxfs count="1">
    <dxf>
      <font>
        <color rgb="FF245535"/>
      </font>
      <fill>
        <patternFill patternType="solid">
          <bgColor rgb="FFE6F3E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5"/>
  <sheetViews>
    <sheetView showGridLines="0" tabSelected="1" workbookViewId="0">
      <pane xSplit="2" ySplit="5" topLeftCell="F6" activePane="bottomRight" state="frozen"/>
      <selection pane="topRight"/>
      <selection pane="bottomLeft"/>
      <selection pane="bottomRight" activeCell="H8" sqref="H8"/>
    </sheetView>
  </sheetViews>
  <sheetFormatPr baseColWidth="10" defaultColWidth="8.83203125" defaultRowHeight="14"/>
  <cols>
    <col min="1" max="1" width="7" customWidth="1"/>
    <col min="2" max="2" width="60" customWidth="1"/>
    <col min="3" max="3" width="16" customWidth="1"/>
    <col min="4" max="4" width="18" customWidth="1"/>
    <col min="5" max="5" width="11" customWidth="1"/>
    <col min="6" max="6" width="12" customWidth="1"/>
    <col min="7" max="7" width="16" customWidth="1"/>
    <col min="8" max="8" width="30" customWidth="1"/>
    <col min="9" max="9" width="52" customWidth="1"/>
    <col min="10" max="10" width="28" customWidth="1"/>
    <col min="11" max="11" width="13" customWidth="1"/>
    <col min="12" max="12" width="41" customWidth="1"/>
  </cols>
  <sheetData>
    <row r="1" spans="1:12" ht="30" customHeight="1">
      <c r="A1" s="2" t="s">
        <v>0</v>
      </c>
      <c r="B1" s="1"/>
      <c r="C1" s="1"/>
      <c r="D1" s="1"/>
      <c r="E1" s="1"/>
      <c r="F1" s="1"/>
      <c r="G1" s="1"/>
      <c r="H1" s="1"/>
      <c r="I1" s="1"/>
      <c r="J1" s="1"/>
      <c r="K1" s="1"/>
      <c r="L1" s="1"/>
    </row>
    <row r="2" spans="1:12" ht="32" customHeight="1">
      <c r="A2" s="1"/>
      <c r="B2" s="3" t="s">
        <v>1</v>
      </c>
      <c r="C2" s="1"/>
      <c r="D2" s="1"/>
      <c r="E2" s="1"/>
      <c r="F2" s="1"/>
      <c r="G2" s="1"/>
      <c r="H2" s="1"/>
      <c r="I2" s="1"/>
      <c r="J2" s="1"/>
      <c r="K2" s="1"/>
      <c r="L2" s="1"/>
    </row>
    <row r="3" spans="1:12">
      <c r="A3" s="1"/>
      <c r="B3" s="1" t="s">
        <v>2</v>
      </c>
      <c r="C3" s="1">
        <f>COUNTIF(K6:K55,"已填齐")</f>
        <v>0</v>
      </c>
      <c r="D3" s="1">
        <v>50</v>
      </c>
      <c r="E3" s="1"/>
      <c r="F3" s="1"/>
      <c r="G3" s="1"/>
      <c r="H3" s="1"/>
      <c r="I3" s="1"/>
      <c r="J3" s="1"/>
      <c r="K3" s="1"/>
      <c r="L3" s="1"/>
    </row>
    <row r="4" spans="1:12" ht="32" customHeight="1">
      <c r="A4" s="1"/>
      <c r="B4" s="3" t="s">
        <v>3</v>
      </c>
      <c r="C4" s="1"/>
      <c r="D4" s="1"/>
      <c r="E4" s="1"/>
      <c r="F4" s="1"/>
      <c r="G4" s="1"/>
      <c r="H4" s="1"/>
      <c r="I4" s="1"/>
      <c r="J4" s="1"/>
      <c r="K4" s="1"/>
      <c r="L4" s="1"/>
    </row>
    <row r="5" spans="1:12" ht="34" customHeight="1">
      <c r="A5" s="4" t="s">
        <v>4</v>
      </c>
      <c r="B5" s="4" t="s">
        <v>5</v>
      </c>
      <c r="C5" s="4" t="s">
        <v>6</v>
      </c>
      <c r="D5" s="4" t="s">
        <v>7</v>
      </c>
      <c r="E5" s="4" t="s">
        <v>8</v>
      </c>
      <c r="F5" s="4" t="s">
        <v>9</v>
      </c>
      <c r="G5" s="4" t="s">
        <v>10</v>
      </c>
      <c r="H5" s="4" t="s">
        <v>11</v>
      </c>
      <c r="I5" s="4" t="s">
        <v>12</v>
      </c>
      <c r="J5" s="4" t="s">
        <v>13</v>
      </c>
      <c r="K5" s="4" t="s">
        <v>14</v>
      </c>
      <c r="L5" s="4" t="s">
        <v>15</v>
      </c>
    </row>
    <row r="6" spans="1:12" ht="92" customHeight="1">
      <c r="A6" s="6">
        <v>1</v>
      </c>
      <c r="B6" s="7" t="s">
        <v>16</v>
      </c>
      <c r="C6" s="5" t="s">
        <v>142</v>
      </c>
      <c r="D6" s="5" t="s">
        <v>146</v>
      </c>
      <c r="E6" s="9">
        <v>5</v>
      </c>
      <c r="F6" s="10">
        <v>-1</v>
      </c>
      <c r="G6" s="5" t="b">
        <v>1</v>
      </c>
      <c r="H6" s="5" t="s">
        <v>280</v>
      </c>
      <c r="I6" s="5"/>
      <c r="J6" s="5"/>
      <c r="K6" s="6" t="str">
        <f t="shared" ref="K6:K37" si="0">IF(COUNTA(C6:I6)=7,"已填齐","待填写")</f>
        <v>待填写</v>
      </c>
      <c r="L6" s="8" t="s">
        <v>17</v>
      </c>
    </row>
    <row r="7" spans="1:12" ht="72" customHeight="1">
      <c r="A7" s="6">
        <v>2</v>
      </c>
      <c r="B7" s="7" t="s">
        <v>18</v>
      </c>
      <c r="C7" s="5" t="s">
        <v>142</v>
      </c>
      <c r="D7" s="5" t="s">
        <v>275</v>
      </c>
      <c r="E7" s="9">
        <v>0</v>
      </c>
      <c r="F7" s="10">
        <v>1</v>
      </c>
      <c r="G7" s="5" t="b">
        <v>1</v>
      </c>
      <c r="H7" s="5" t="s">
        <v>282</v>
      </c>
      <c r="I7" s="5"/>
      <c r="J7" s="5"/>
      <c r="K7" s="6" t="str">
        <f t="shared" si="0"/>
        <v>待填写</v>
      </c>
      <c r="L7" s="8" t="s">
        <v>19</v>
      </c>
    </row>
    <row r="8" spans="1:12" ht="72" customHeight="1">
      <c r="A8" s="6">
        <v>3</v>
      </c>
      <c r="B8" s="7" t="s">
        <v>20</v>
      </c>
      <c r="C8" s="5" t="s">
        <v>142</v>
      </c>
      <c r="D8" s="5" t="s">
        <v>275</v>
      </c>
      <c r="E8" s="9">
        <v>0</v>
      </c>
      <c r="F8" s="10">
        <v>1</v>
      </c>
      <c r="G8" s="5" t="b">
        <v>1</v>
      </c>
      <c r="H8" s="5" t="s">
        <v>280</v>
      </c>
      <c r="I8" s="5"/>
      <c r="J8" s="5"/>
      <c r="K8" s="6" t="str">
        <f t="shared" si="0"/>
        <v>待填写</v>
      </c>
      <c r="L8" s="8" t="s">
        <v>21</v>
      </c>
    </row>
    <row r="9" spans="1:12" ht="72" customHeight="1">
      <c r="A9" s="6">
        <v>4</v>
      </c>
      <c r="B9" s="7" t="s">
        <v>22</v>
      </c>
      <c r="C9" s="5" t="s">
        <v>127</v>
      </c>
      <c r="D9" s="5" t="s">
        <v>276</v>
      </c>
      <c r="E9" s="9">
        <v>3</v>
      </c>
      <c r="F9" s="10">
        <v>-0.5</v>
      </c>
      <c r="G9" s="5" t="b">
        <v>1</v>
      </c>
      <c r="H9" s="5" t="s">
        <v>279</v>
      </c>
      <c r="I9" s="5"/>
      <c r="J9" s="5"/>
      <c r="K9" s="6" t="str">
        <f t="shared" si="0"/>
        <v>待填写</v>
      </c>
      <c r="L9" s="8" t="s">
        <v>23</v>
      </c>
    </row>
    <row r="10" spans="1:12" ht="72" customHeight="1">
      <c r="A10" s="6">
        <v>5</v>
      </c>
      <c r="B10" s="7" t="s">
        <v>24</v>
      </c>
      <c r="C10" s="5" t="s">
        <v>142</v>
      </c>
      <c r="D10" s="5" t="s">
        <v>275</v>
      </c>
      <c r="E10" s="9">
        <v>0</v>
      </c>
      <c r="F10" s="10">
        <v>1</v>
      </c>
      <c r="G10" s="5" t="b">
        <v>1</v>
      </c>
      <c r="H10" s="5"/>
      <c r="I10" s="5"/>
      <c r="J10" s="5"/>
      <c r="K10" s="6" t="str">
        <f t="shared" si="0"/>
        <v>待填写</v>
      </c>
      <c r="L10" s="8" t="s">
        <v>25</v>
      </c>
    </row>
    <row r="11" spans="1:12" ht="72" customHeight="1">
      <c r="A11" s="6">
        <v>6</v>
      </c>
      <c r="B11" s="7" t="s">
        <v>26</v>
      </c>
      <c r="C11" s="5" t="s">
        <v>127</v>
      </c>
      <c r="D11" s="5" t="s">
        <v>276</v>
      </c>
      <c r="E11" s="9">
        <v>5</v>
      </c>
      <c r="F11" s="10">
        <v>-1</v>
      </c>
      <c r="G11" s="5" t="b">
        <v>1</v>
      </c>
      <c r="H11" s="5" t="s">
        <v>282</v>
      </c>
      <c r="I11" s="5"/>
      <c r="J11" s="5"/>
      <c r="K11" s="6" t="str">
        <f t="shared" si="0"/>
        <v>待填写</v>
      </c>
      <c r="L11" s="8" t="s">
        <v>27</v>
      </c>
    </row>
    <row r="12" spans="1:12" ht="72" customHeight="1">
      <c r="A12" s="6">
        <v>7</v>
      </c>
      <c r="B12" s="7" t="s">
        <v>28</v>
      </c>
      <c r="C12" s="5" t="s">
        <v>142</v>
      </c>
      <c r="D12" s="5" t="s">
        <v>275</v>
      </c>
      <c r="E12" s="9">
        <v>0</v>
      </c>
      <c r="F12" s="10">
        <v>1</v>
      </c>
      <c r="G12" s="5" t="b">
        <v>1</v>
      </c>
      <c r="H12" s="5"/>
      <c r="I12" s="5"/>
      <c r="J12" s="5"/>
      <c r="K12" s="6" t="str">
        <f t="shared" si="0"/>
        <v>待填写</v>
      </c>
      <c r="L12" s="8" t="s">
        <v>29</v>
      </c>
    </row>
    <row r="13" spans="1:12" ht="72" customHeight="1">
      <c r="A13" s="6">
        <v>8</v>
      </c>
      <c r="B13" s="7" t="s">
        <v>30</v>
      </c>
      <c r="C13" s="5" t="s">
        <v>142</v>
      </c>
      <c r="D13" s="5" t="s">
        <v>275</v>
      </c>
      <c r="E13" s="9">
        <v>0</v>
      </c>
      <c r="F13" s="10">
        <v>1</v>
      </c>
      <c r="G13" s="5" t="b">
        <v>1</v>
      </c>
      <c r="H13" s="5"/>
      <c r="I13" s="5"/>
      <c r="J13" s="5"/>
      <c r="K13" s="6" t="str">
        <f t="shared" si="0"/>
        <v>待填写</v>
      </c>
      <c r="L13" s="8" t="s">
        <v>31</v>
      </c>
    </row>
    <row r="14" spans="1:12" ht="72" customHeight="1">
      <c r="A14" s="6">
        <v>9</v>
      </c>
      <c r="B14" s="7" t="s">
        <v>32</v>
      </c>
      <c r="C14" s="5" t="s">
        <v>127</v>
      </c>
      <c r="D14" s="5" t="s">
        <v>275</v>
      </c>
      <c r="E14" s="9">
        <v>0</v>
      </c>
      <c r="F14" s="10">
        <v>1</v>
      </c>
      <c r="G14" s="5" t="b">
        <v>1</v>
      </c>
      <c r="H14" s="5" t="s">
        <v>280</v>
      </c>
      <c r="I14" s="5"/>
      <c r="J14" s="5"/>
      <c r="K14" s="6" t="str">
        <f t="shared" si="0"/>
        <v>待填写</v>
      </c>
      <c r="L14" s="8" t="s">
        <v>33</v>
      </c>
    </row>
    <row r="15" spans="1:12" ht="72" customHeight="1">
      <c r="A15" s="6">
        <v>10</v>
      </c>
      <c r="B15" s="7" t="s">
        <v>34</v>
      </c>
      <c r="C15" s="5" t="s">
        <v>127</v>
      </c>
      <c r="D15" s="5" t="s">
        <v>275</v>
      </c>
      <c r="E15" s="9">
        <v>0</v>
      </c>
      <c r="F15" s="10">
        <v>1</v>
      </c>
      <c r="G15" s="5" t="b">
        <v>1</v>
      </c>
      <c r="H15" s="5" t="s">
        <v>278</v>
      </c>
      <c r="I15" s="5"/>
      <c r="J15" s="5"/>
      <c r="K15" s="6" t="str">
        <f t="shared" si="0"/>
        <v>待填写</v>
      </c>
      <c r="L15" s="8" t="s">
        <v>35</v>
      </c>
    </row>
    <row r="16" spans="1:12" ht="76" customHeight="1">
      <c r="A16" s="6">
        <v>11</v>
      </c>
      <c r="B16" s="7" t="s">
        <v>36</v>
      </c>
      <c r="C16" s="5" t="s">
        <v>127</v>
      </c>
      <c r="D16" s="5" t="s">
        <v>277</v>
      </c>
      <c r="E16" s="9">
        <v>1</v>
      </c>
      <c r="F16" s="10">
        <v>0</v>
      </c>
      <c r="G16" s="5" t="b">
        <v>1</v>
      </c>
      <c r="H16" s="5" t="s">
        <v>282</v>
      </c>
      <c r="I16" s="5"/>
      <c r="J16" s="5"/>
      <c r="K16" s="6" t="str">
        <f t="shared" si="0"/>
        <v>待填写</v>
      </c>
      <c r="L16" s="8" t="s">
        <v>37</v>
      </c>
    </row>
    <row r="17" spans="1:12" ht="124" customHeight="1">
      <c r="A17" s="6">
        <v>12</v>
      </c>
      <c r="B17" s="7" t="s">
        <v>38</v>
      </c>
      <c r="C17" s="5" t="s">
        <v>140</v>
      </c>
      <c r="D17" s="5" t="s">
        <v>275</v>
      </c>
      <c r="E17" s="9">
        <v>0</v>
      </c>
      <c r="F17" s="10">
        <v>1</v>
      </c>
      <c r="G17" s="5" t="b">
        <v>1</v>
      </c>
      <c r="H17" s="5" t="s">
        <v>284</v>
      </c>
      <c r="I17" s="5"/>
      <c r="J17" s="5"/>
      <c r="K17" s="6" t="str">
        <f t="shared" si="0"/>
        <v>待填写</v>
      </c>
      <c r="L17" s="8" t="s">
        <v>39</v>
      </c>
    </row>
    <row r="18" spans="1:12" ht="72" customHeight="1">
      <c r="A18" s="6">
        <v>13</v>
      </c>
      <c r="B18" s="7" t="s">
        <v>40</v>
      </c>
      <c r="C18" s="5" t="s">
        <v>124</v>
      </c>
      <c r="D18" s="5" t="s">
        <v>276</v>
      </c>
      <c r="E18" s="9">
        <v>4</v>
      </c>
      <c r="F18" s="10">
        <v>-0.5</v>
      </c>
      <c r="G18" s="5" t="b">
        <v>1</v>
      </c>
      <c r="H18" s="5" t="s">
        <v>282</v>
      </c>
      <c r="I18" s="5"/>
      <c r="J18" s="5"/>
      <c r="K18" s="6" t="str">
        <f t="shared" si="0"/>
        <v>待填写</v>
      </c>
      <c r="L18" s="8" t="s">
        <v>41</v>
      </c>
    </row>
    <row r="19" spans="1:12" ht="72" customHeight="1">
      <c r="A19" s="6">
        <v>14</v>
      </c>
      <c r="B19" s="7" t="s">
        <v>42</v>
      </c>
      <c r="C19" s="5" t="s">
        <v>142</v>
      </c>
      <c r="D19" s="5" t="s">
        <v>275</v>
      </c>
      <c r="E19" s="9">
        <v>0</v>
      </c>
      <c r="F19" s="10">
        <v>1</v>
      </c>
      <c r="G19" s="5" t="b">
        <v>1</v>
      </c>
      <c r="H19" s="5"/>
      <c r="I19" s="5"/>
      <c r="J19" s="5"/>
      <c r="K19" s="6" t="str">
        <f t="shared" si="0"/>
        <v>待填写</v>
      </c>
      <c r="L19" s="8" t="s">
        <v>43</v>
      </c>
    </row>
    <row r="20" spans="1:12" ht="72" customHeight="1">
      <c r="A20" s="6">
        <v>15</v>
      </c>
      <c r="B20" s="7" t="s">
        <v>44</v>
      </c>
      <c r="C20" s="5" t="s">
        <v>142</v>
      </c>
      <c r="D20" s="5" t="s">
        <v>275</v>
      </c>
      <c r="E20" s="9">
        <v>0</v>
      </c>
      <c r="F20" s="10">
        <v>1</v>
      </c>
      <c r="G20" s="5" t="b">
        <v>1</v>
      </c>
      <c r="H20" s="5"/>
      <c r="I20" s="5"/>
      <c r="J20" s="5"/>
      <c r="K20" s="6" t="str">
        <f t="shared" si="0"/>
        <v>待填写</v>
      </c>
      <c r="L20" s="8" t="s">
        <v>45</v>
      </c>
    </row>
    <row r="21" spans="1:12" ht="72" customHeight="1">
      <c r="A21" s="6">
        <v>16</v>
      </c>
      <c r="B21" s="7" t="s">
        <v>46</v>
      </c>
      <c r="C21" s="5" t="s">
        <v>127</v>
      </c>
      <c r="D21" s="5" t="s">
        <v>277</v>
      </c>
      <c r="E21" s="9">
        <v>1</v>
      </c>
      <c r="F21" s="10">
        <v>0</v>
      </c>
      <c r="G21" s="5" t="b">
        <v>0</v>
      </c>
      <c r="H21" s="5" t="s">
        <v>279</v>
      </c>
      <c r="I21" s="5"/>
      <c r="J21" s="5"/>
      <c r="K21" s="6" t="str">
        <f t="shared" si="0"/>
        <v>待填写</v>
      </c>
      <c r="L21" s="8" t="s">
        <v>47</v>
      </c>
    </row>
    <row r="22" spans="1:12" ht="72" customHeight="1">
      <c r="A22" s="6">
        <v>17</v>
      </c>
      <c r="B22" s="7" t="s">
        <v>48</v>
      </c>
      <c r="C22" s="5" t="s">
        <v>142</v>
      </c>
      <c r="D22" s="5" t="s">
        <v>275</v>
      </c>
      <c r="E22" s="9">
        <v>0</v>
      </c>
      <c r="F22" s="10">
        <v>1</v>
      </c>
      <c r="G22" s="5" t="b">
        <v>1</v>
      </c>
      <c r="H22" s="5" t="s">
        <v>280</v>
      </c>
      <c r="I22" s="5"/>
      <c r="J22" s="5"/>
      <c r="K22" s="6" t="str">
        <f t="shared" si="0"/>
        <v>待填写</v>
      </c>
      <c r="L22" s="8" t="s">
        <v>49</v>
      </c>
    </row>
    <row r="23" spans="1:12" ht="72" customHeight="1">
      <c r="A23" s="6">
        <v>18</v>
      </c>
      <c r="B23" s="7" t="s">
        <v>50</v>
      </c>
      <c r="C23" s="5" t="s">
        <v>142</v>
      </c>
      <c r="D23" s="5" t="s">
        <v>274</v>
      </c>
      <c r="E23" s="9">
        <v>1</v>
      </c>
      <c r="F23" s="10">
        <v>0</v>
      </c>
      <c r="G23" s="5" t="b">
        <v>1</v>
      </c>
      <c r="H23" s="5"/>
      <c r="I23" s="5"/>
      <c r="J23" s="5"/>
      <c r="K23" s="6" t="str">
        <f t="shared" si="0"/>
        <v>待填写</v>
      </c>
      <c r="L23" s="8" t="s">
        <v>51</v>
      </c>
    </row>
    <row r="24" spans="1:12" ht="72" customHeight="1">
      <c r="A24" s="6">
        <v>19</v>
      </c>
      <c r="B24" s="7" t="s">
        <v>52</v>
      </c>
      <c r="C24" s="5"/>
      <c r="D24" s="5" t="s">
        <v>274</v>
      </c>
      <c r="E24" s="9">
        <v>1</v>
      </c>
      <c r="F24" s="10">
        <v>0</v>
      </c>
      <c r="G24" s="5" t="b">
        <v>1</v>
      </c>
      <c r="H24" s="5"/>
      <c r="I24" s="5"/>
      <c r="J24" s="5"/>
      <c r="K24" s="6" t="str">
        <f t="shared" si="0"/>
        <v>待填写</v>
      </c>
      <c r="L24" s="8" t="s">
        <v>53</v>
      </c>
    </row>
    <row r="25" spans="1:12" ht="72" customHeight="1">
      <c r="A25" s="6">
        <v>20</v>
      </c>
      <c r="B25" s="7" t="s">
        <v>54</v>
      </c>
      <c r="C25" s="5" t="s">
        <v>124</v>
      </c>
      <c r="D25" s="5" t="s">
        <v>276</v>
      </c>
      <c r="E25" s="9">
        <v>5</v>
      </c>
      <c r="F25" s="10">
        <v>-1</v>
      </c>
      <c r="G25" s="5" t="b">
        <v>1</v>
      </c>
      <c r="H25" s="5" t="s">
        <v>282</v>
      </c>
      <c r="I25" s="5"/>
      <c r="J25" s="5"/>
      <c r="K25" s="6" t="str">
        <f t="shared" si="0"/>
        <v>待填写</v>
      </c>
      <c r="L25" s="8" t="s">
        <v>55</v>
      </c>
    </row>
    <row r="26" spans="1:12" ht="72" customHeight="1">
      <c r="A26" s="6">
        <v>21</v>
      </c>
      <c r="B26" s="7" t="s">
        <v>56</v>
      </c>
      <c r="C26" s="5" t="s">
        <v>142</v>
      </c>
      <c r="D26" s="5" t="s">
        <v>146</v>
      </c>
      <c r="E26" s="9">
        <v>5</v>
      </c>
      <c r="F26" s="10">
        <v>-1</v>
      </c>
      <c r="G26" s="5" t="b">
        <v>1</v>
      </c>
      <c r="H26" s="5" t="s">
        <v>282</v>
      </c>
      <c r="I26" s="5"/>
      <c r="J26" s="5"/>
      <c r="K26" s="6" t="str">
        <f t="shared" si="0"/>
        <v>待填写</v>
      </c>
      <c r="L26" s="8" t="s">
        <v>57</v>
      </c>
    </row>
    <row r="27" spans="1:12" ht="72" customHeight="1">
      <c r="A27" s="6">
        <v>22</v>
      </c>
      <c r="B27" s="7" t="s">
        <v>58</v>
      </c>
      <c r="C27" s="5" t="s">
        <v>135</v>
      </c>
      <c r="D27" s="5" t="s">
        <v>275</v>
      </c>
      <c r="E27" s="9">
        <v>0</v>
      </c>
      <c r="F27" s="10">
        <v>1</v>
      </c>
      <c r="G27" s="5" t="b">
        <v>1</v>
      </c>
      <c r="H27" s="5" t="s">
        <v>280</v>
      </c>
      <c r="I27" s="5"/>
      <c r="J27" s="5"/>
      <c r="K27" s="6" t="str">
        <f t="shared" si="0"/>
        <v>待填写</v>
      </c>
      <c r="L27" s="8" t="s">
        <v>59</v>
      </c>
    </row>
    <row r="28" spans="1:12" ht="72" customHeight="1">
      <c r="A28" s="6">
        <v>23</v>
      </c>
      <c r="B28" s="7" t="s">
        <v>60</v>
      </c>
      <c r="C28" s="5" t="s">
        <v>142</v>
      </c>
      <c r="D28" s="5" t="s">
        <v>275</v>
      </c>
      <c r="E28" s="9">
        <v>0</v>
      </c>
      <c r="F28" s="10">
        <v>1</v>
      </c>
      <c r="G28" s="5" t="b">
        <v>1</v>
      </c>
      <c r="H28" s="5" t="s">
        <v>284</v>
      </c>
      <c r="I28" s="5"/>
      <c r="J28" s="5"/>
      <c r="K28" s="6" t="str">
        <f t="shared" si="0"/>
        <v>待填写</v>
      </c>
      <c r="L28" s="8" t="s">
        <v>61</v>
      </c>
    </row>
    <row r="29" spans="1:12" ht="72" customHeight="1">
      <c r="A29" s="6">
        <v>24</v>
      </c>
      <c r="B29" s="7" t="s">
        <v>62</v>
      </c>
      <c r="C29" s="5" t="s">
        <v>127</v>
      </c>
      <c r="D29" s="5" t="s">
        <v>277</v>
      </c>
      <c r="E29" s="9">
        <v>1</v>
      </c>
      <c r="F29" s="10">
        <v>0</v>
      </c>
      <c r="G29" s="5" t="b">
        <v>1</v>
      </c>
      <c r="H29" s="5" t="s">
        <v>281</v>
      </c>
      <c r="I29" s="5"/>
      <c r="J29" s="5"/>
      <c r="K29" s="6" t="str">
        <f t="shared" si="0"/>
        <v>待填写</v>
      </c>
      <c r="L29" s="8" t="s">
        <v>63</v>
      </c>
    </row>
    <row r="30" spans="1:12" ht="72" customHeight="1">
      <c r="A30" s="6">
        <v>25</v>
      </c>
      <c r="B30" s="7" t="s">
        <v>64</v>
      </c>
      <c r="C30" s="5" t="s">
        <v>130</v>
      </c>
      <c r="D30" s="5" t="s">
        <v>276</v>
      </c>
      <c r="E30" s="9">
        <v>4</v>
      </c>
      <c r="F30" s="10">
        <v>-0.5</v>
      </c>
      <c r="G30" s="5" t="b">
        <v>1</v>
      </c>
      <c r="H30" s="5" t="s">
        <v>284</v>
      </c>
      <c r="I30" s="5"/>
      <c r="J30" s="5"/>
      <c r="K30" s="6" t="str">
        <f t="shared" si="0"/>
        <v>待填写</v>
      </c>
      <c r="L30" s="8" t="s">
        <v>65</v>
      </c>
    </row>
    <row r="31" spans="1:12" ht="72" customHeight="1">
      <c r="A31" s="6">
        <v>26</v>
      </c>
      <c r="B31" s="7" t="s">
        <v>66</v>
      </c>
      <c r="C31" s="5" t="s">
        <v>142</v>
      </c>
      <c r="D31" s="5" t="s">
        <v>275</v>
      </c>
      <c r="E31" s="9">
        <v>0</v>
      </c>
      <c r="F31" s="10">
        <v>1</v>
      </c>
      <c r="G31" s="5" t="b">
        <v>1</v>
      </c>
      <c r="H31" s="5"/>
      <c r="I31" s="5"/>
      <c r="J31" s="5"/>
      <c r="K31" s="6" t="str">
        <f t="shared" si="0"/>
        <v>待填写</v>
      </c>
      <c r="L31" s="8" t="s">
        <v>67</v>
      </c>
    </row>
    <row r="32" spans="1:12" ht="72" customHeight="1">
      <c r="A32" s="6">
        <v>27</v>
      </c>
      <c r="B32" s="7" t="s">
        <v>68</v>
      </c>
      <c r="C32" s="5" t="s">
        <v>142</v>
      </c>
      <c r="D32" s="5" t="s">
        <v>274</v>
      </c>
      <c r="E32" s="9">
        <v>1</v>
      </c>
      <c r="F32" s="10">
        <v>0</v>
      </c>
      <c r="G32" s="5" t="b">
        <v>1</v>
      </c>
      <c r="H32" s="5"/>
      <c r="I32" s="5"/>
      <c r="J32" s="5"/>
      <c r="K32" s="6" t="str">
        <f t="shared" si="0"/>
        <v>待填写</v>
      </c>
      <c r="L32" s="8" t="s">
        <v>69</v>
      </c>
    </row>
    <row r="33" spans="1:12" ht="72" customHeight="1">
      <c r="A33" s="6">
        <v>28</v>
      </c>
      <c r="B33" s="7" t="s">
        <v>70</v>
      </c>
      <c r="C33" s="5" t="s">
        <v>142</v>
      </c>
      <c r="D33" s="5" t="s">
        <v>275</v>
      </c>
      <c r="E33" s="9">
        <v>0</v>
      </c>
      <c r="F33" s="10">
        <v>1</v>
      </c>
      <c r="G33" s="5" t="b">
        <v>1</v>
      </c>
      <c r="H33" s="5"/>
      <c r="I33" s="5"/>
      <c r="J33" s="5"/>
      <c r="K33" s="6" t="str">
        <f t="shared" si="0"/>
        <v>待填写</v>
      </c>
      <c r="L33" s="8" t="s">
        <v>71</v>
      </c>
    </row>
    <row r="34" spans="1:12" ht="124" customHeight="1">
      <c r="A34" s="6">
        <v>29</v>
      </c>
      <c r="B34" s="7" t="s">
        <v>72</v>
      </c>
      <c r="C34" s="5" t="s">
        <v>127</v>
      </c>
      <c r="D34" s="5" t="s">
        <v>146</v>
      </c>
      <c r="E34" s="9">
        <v>5</v>
      </c>
      <c r="F34" s="10">
        <v>-1</v>
      </c>
      <c r="G34" s="5" t="b">
        <v>0</v>
      </c>
      <c r="H34" s="5" t="s">
        <v>283</v>
      </c>
      <c r="I34" s="5"/>
      <c r="J34" s="5"/>
      <c r="K34" s="6" t="str">
        <f t="shared" si="0"/>
        <v>待填写</v>
      </c>
      <c r="L34" s="8" t="s">
        <v>73</v>
      </c>
    </row>
    <row r="35" spans="1:12" ht="72" customHeight="1">
      <c r="A35" s="6">
        <v>30</v>
      </c>
      <c r="B35" s="7" t="s">
        <v>74</v>
      </c>
      <c r="C35" s="5" t="s">
        <v>137</v>
      </c>
      <c r="D35" s="5" t="s">
        <v>276</v>
      </c>
      <c r="E35" s="9">
        <v>3</v>
      </c>
      <c r="F35" s="10">
        <v>-0.5</v>
      </c>
      <c r="G35" s="5" t="b">
        <v>1</v>
      </c>
      <c r="H35" s="5" t="s">
        <v>283</v>
      </c>
      <c r="I35" s="5"/>
      <c r="J35" s="5"/>
      <c r="K35" s="6" t="str">
        <f t="shared" si="0"/>
        <v>待填写</v>
      </c>
      <c r="L35" s="8" t="s">
        <v>75</v>
      </c>
    </row>
    <row r="36" spans="1:12" ht="72" customHeight="1">
      <c r="A36" s="6">
        <v>31</v>
      </c>
      <c r="B36" s="7" t="s">
        <v>76</v>
      </c>
      <c r="C36" s="5" t="s">
        <v>142</v>
      </c>
      <c r="D36" s="5" t="s">
        <v>275</v>
      </c>
      <c r="E36" s="9">
        <v>0</v>
      </c>
      <c r="F36" s="10">
        <v>1</v>
      </c>
      <c r="G36" s="5" t="b">
        <v>1</v>
      </c>
      <c r="H36" s="5" t="s">
        <v>282</v>
      </c>
      <c r="I36" s="5"/>
      <c r="J36" s="5"/>
      <c r="K36" s="6" t="str">
        <f t="shared" si="0"/>
        <v>待填写</v>
      </c>
      <c r="L36" s="8" t="s">
        <v>77</v>
      </c>
    </row>
    <row r="37" spans="1:12" ht="108" customHeight="1">
      <c r="A37" s="6">
        <v>32</v>
      </c>
      <c r="B37" s="7" t="s">
        <v>78</v>
      </c>
      <c r="C37" s="5" t="s">
        <v>124</v>
      </c>
      <c r="D37" s="5" t="s">
        <v>275</v>
      </c>
      <c r="E37" s="9">
        <v>0</v>
      </c>
      <c r="F37" s="10">
        <v>1</v>
      </c>
      <c r="G37" s="5" t="b">
        <v>1</v>
      </c>
      <c r="H37" s="5" t="s">
        <v>284</v>
      </c>
      <c r="I37" s="5"/>
      <c r="J37" s="5"/>
      <c r="K37" s="6" t="str">
        <f t="shared" si="0"/>
        <v>待填写</v>
      </c>
      <c r="L37" s="8" t="s">
        <v>79</v>
      </c>
    </row>
    <row r="38" spans="1:12" ht="92" customHeight="1">
      <c r="A38" s="6">
        <v>33</v>
      </c>
      <c r="B38" s="7" t="s">
        <v>80</v>
      </c>
      <c r="C38" s="5" t="s">
        <v>142</v>
      </c>
      <c r="D38" s="5" t="s">
        <v>276</v>
      </c>
      <c r="E38" s="9">
        <v>5</v>
      </c>
      <c r="F38" s="10">
        <v>-1</v>
      </c>
      <c r="G38" s="5" t="b">
        <v>1</v>
      </c>
      <c r="H38" s="5"/>
      <c r="I38" s="5"/>
      <c r="J38" s="5"/>
      <c r="K38" s="6" t="str">
        <f t="shared" ref="K38:K55" si="1">IF(COUNTA(C38:I38)=7,"已填齐","待填写")</f>
        <v>待填写</v>
      </c>
      <c r="L38" s="8" t="s">
        <v>81</v>
      </c>
    </row>
    <row r="39" spans="1:12" ht="72" customHeight="1">
      <c r="A39" s="6">
        <v>34</v>
      </c>
      <c r="B39" s="7" t="s">
        <v>82</v>
      </c>
      <c r="C39" s="5" t="s">
        <v>137</v>
      </c>
      <c r="D39" s="5" t="s">
        <v>277</v>
      </c>
      <c r="E39" s="9">
        <v>1</v>
      </c>
      <c r="F39" s="10">
        <v>0</v>
      </c>
      <c r="G39" s="5" t="b">
        <v>0</v>
      </c>
      <c r="H39" s="5"/>
      <c r="I39" s="5"/>
      <c r="J39" s="5"/>
      <c r="K39" s="6" t="str">
        <f t="shared" si="1"/>
        <v>待填写</v>
      </c>
      <c r="L39" s="8" t="s">
        <v>83</v>
      </c>
    </row>
    <row r="40" spans="1:12" ht="72" customHeight="1">
      <c r="A40" s="6">
        <v>35</v>
      </c>
      <c r="B40" s="7" t="s">
        <v>84</v>
      </c>
      <c r="C40" s="5" t="s">
        <v>142</v>
      </c>
      <c r="D40" s="5" t="s">
        <v>275</v>
      </c>
      <c r="E40" s="9">
        <v>0</v>
      </c>
      <c r="F40" s="10">
        <v>1</v>
      </c>
      <c r="G40" s="5" t="b">
        <v>1</v>
      </c>
      <c r="H40" s="5"/>
      <c r="I40" s="5"/>
      <c r="J40" s="5"/>
      <c r="K40" s="6" t="str">
        <f t="shared" si="1"/>
        <v>待填写</v>
      </c>
      <c r="L40" s="8" t="s">
        <v>85</v>
      </c>
    </row>
    <row r="41" spans="1:12" ht="72" customHeight="1">
      <c r="A41" s="6">
        <v>36</v>
      </c>
      <c r="B41" s="7" t="s">
        <v>86</v>
      </c>
      <c r="C41" s="5" t="s">
        <v>142</v>
      </c>
      <c r="D41" s="5" t="s">
        <v>275</v>
      </c>
      <c r="E41" s="9">
        <v>0</v>
      </c>
      <c r="F41" s="10">
        <v>1</v>
      </c>
      <c r="G41" s="5" t="b">
        <v>1</v>
      </c>
      <c r="H41" s="5" t="s">
        <v>282</v>
      </c>
      <c r="I41" s="5"/>
      <c r="J41" s="5"/>
      <c r="K41" s="6" t="str">
        <f t="shared" si="1"/>
        <v>待填写</v>
      </c>
      <c r="L41" s="8" t="s">
        <v>87</v>
      </c>
    </row>
    <row r="42" spans="1:12" ht="72" customHeight="1">
      <c r="A42" s="6">
        <v>37</v>
      </c>
      <c r="B42" s="7" t="s">
        <v>88</v>
      </c>
      <c r="C42" s="5" t="s">
        <v>142</v>
      </c>
      <c r="D42" s="5" t="s">
        <v>275</v>
      </c>
      <c r="E42" s="9">
        <v>0</v>
      </c>
      <c r="F42" s="10">
        <v>1</v>
      </c>
      <c r="G42" s="5" t="b">
        <v>1</v>
      </c>
      <c r="H42" s="5" t="s">
        <v>282</v>
      </c>
      <c r="I42" s="5"/>
      <c r="J42" s="5"/>
      <c r="K42" s="6" t="str">
        <f t="shared" si="1"/>
        <v>待填写</v>
      </c>
      <c r="L42" s="8" t="s">
        <v>89</v>
      </c>
    </row>
    <row r="43" spans="1:12" ht="72" customHeight="1">
      <c r="A43" s="6">
        <v>38</v>
      </c>
      <c r="B43" s="7" t="s">
        <v>90</v>
      </c>
      <c r="C43" s="5" t="s">
        <v>127</v>
      </c>
      <c r="D43" s="5" t="s">
        <v>276</v>
      </c>
      <c r="E43" s="9">
        <v>5</v>
      </c>
      <c r="F43" s="10">
        <v>-1</v>
      </c>
      <c r="G43" s="5" t="b">
        <v>1</v>
      </c>
      <c r="H43" s="5"/>
      <c r="I43" s="5"/>
      <c r="J43" s="5"/>
      <c r="K43" s="6" t="str">
        <f t="shared" si="1"/>
        <v>待填写</v>
      </c>
      <c r="L43" s="8" t="s">
        <v>91</v>
      </c>
    </row>
    <row r="44" spans="1:12" ht="72" customHeight="1">
      <c r="A44" s="6">
        <v>39</v>
      </c>
      <c r="B44" s="7" t="s">
        <v>92</v>
      </c>
      <c r="C44" s="5" t="s">
        <v>142</v>
      </c>
      <c r="D44" s="5" t="s">
        <v>275</v>
      </c>
      <c r="E44" s="9">
        <v>0</v>
      </c>
      <c r="F44" s="10">
        <v>1</v>
      </c>
      <c r="G44" s="5" t="b">
        <v>1</v>
      </c>
      <c r="H44" s="5"/>
      <c r="I44" s="5"/>
      <c r="J44" s="5"/>
      <c r="K44" s="6" t="str">
        <f t="shared" si="1"/>
        <v>待填写</v>
      </c>
      <c r="L44" s="8" t="s">
        <v>93</v>
      </c>
    </row>
    <row r="45" spans="1:12" ht="72" customHeight="1">
      <c r="A45" s="6">
        <v>40</v>
      </c>
      <c r="B45" s="7" t="s">
        <v>84</v>
      </c>
      <c r="C45" s="5" t="s">
        <v>142</v>
      </c>
      <c r="D45" s="5" t="s">
        <v>275</v>
      </c>
      <c r="E45" s="9">
        <v>0</v>
      </c>
      <c r="F45" s="10">
        <v>1</v>
      </c>
      <c r="G45" s="5" t="b">
        <v>1</v>
      </c>
      <c r="H45" s="5"/>
      <c r="I45" s="5"/>
      <c r="J45" s="5"/>
      <c r="K45" s="6" t="str">
        <f t="shared" si="1"/>
        <v>待填写</v>
      </c>
      <c r="L45" s="8" t="s">
        <v>94</v>
      </c>
    </row>
    <row r="46" spans="1:12" ht="76" customHeight="1">
      <c r="A46" s="6">
        <v>41</v>
      </c>
      <c r="B46" s="7" t="s">
        <v>95</v>
      </c>
      <c r="C46" s="5" t="s">
        <v>127</v>
      </c>
      <c r="D46" s="5" t="s">
        <v>277</v>
      </c>
      <c r="E46" s="9">
        <v>1</v>
      </c>
      <c r="F46" s="10">
        <v>0</v>
      </c>
      <c r="G46" s="5" t="b">
        <v>1</v>
      </c>
      <c r="H46" s="5" t="s">
        <v>280</v>
      </c>
      <c r="I46" s="5"/>
      <c r="J46" s="5"/>
      <c r="K46" s="6" t="str">
        <f t="shared" si="1"/>
        <v>待填写</v>
      </c>
      <c r="L46" s="8" t="s">
        <v>96</v>
      </c>
    </row>
    <row r="47" spans="1:12" ht="72" customHeight="1">
      <c r="A47" s="6">
        <v>42</v>
      </c>
      <c r="B47" s="7" t="s">
        <v>97</v>
      </c>
      <c r="C47" s="5" t="s">
        <v>127</v>
      </c>
      <c r="D47" s="5" t="s">
        <v>276</v>
      </c>
      <c r="E47" s="9">
        <v>5</v>
      </c>
      <c r="F47" s="10">
        <v>-1</v>
      </c>
      <c r="G47" s="5" t="b">
        <v>1</v>
      </c>
      <c r="H47" s="5" t="s">
        <v>282</v>
      </c>
      <c r="I47" s="5"/>
      <c r="J47" s="5"/>
      <c r="K47" s="6" t="str">
        <f t="shared" si="1"/>
        <v>待填写</v>
      </c>
      <c r="L47" s="8" t="s">
        <v>98</v>
      </c>
    </row>
    <row r="48" spans="1:12" ht="76" customHeight="1">
      <c r="A48" s="6">
        <v>43</v>
      </c>
      <c r="B48" s="7" t="s">
        <v>99</v>
      </c>
      <c r="C48" s="5" t="s">
        <v>127</v>
      </c>
      <c r="D48" s="5" t="s">
        <v>276</v>
      </c>
      <c r="E48" s="9">
        <v>5</v>
      </c>
      <c r="F48" s="10">
        <v>-1</v>
      </c>
      <c r="G48" s="5" t="b">
        <v>1</v>
      </c>
      <c r="H48" s="5"/>
      <c r="I48" s="5"/>
      <c r="J48" s="5"/>
      <c r="K48" s="6" t="str">
        <f t="shared" si="1"/>
        <v>待填写</v>
      </c>
      <c r="L48" s="8" t="s">
        <v>100</v>
      </c>
    </row>
    <row r="49" spans="1:12" ht="76" customHeight="1">
      <c r="A49" s="6">
        <v>44</v>
      </c>
      <c r="B49" s="7" t="s">
        <v>101</v>
      </c>
      <c r="C49" s="5" t="s">
        <v>127</v>
      </c>
      <c r="D49" s="5" t="s">
        <v>275</v>
      </c>
      <c r="E49" s="14">
        <v>0</v>
      </c>
      <c r="F49" s="10">
        <v>1</v>
      </c>
      <c r="G49" s="5" t="b">
        <v>1</v>
      </c>
      <c r="H49" s="5" t="s">
        <v>280</v>
      </c>
      <c r="I49" s="5"/>
      <c r="J49" s="5"/>
      <c r="K49" s="6" t="str">
        <f t="shared" si="1"/>
        <v>待填写</v>
      </c>
      <c r="L49" s="8" t="s">
        <v>102</v>
      </c>
    </row>
    <row r="50" spans="1:12" ht="72" customHeight="1">
      <c r="A50" s="6">
        <v>45</v>
      </c>
      <c r="B50" s="7" t="s">
        <v>103</v>
      </c>
      <c r="C50" s="5" t="s">
        <v>127</v>
      </c>
      <c r="D50" s="5" t="s">
        <v>276</v>
      </c>
      <c r="E50" s="9">
        <v>4</v>
      </c>
      <c r="F50" s="10">
        <v>-0.5</v>
      </c>
      <c r="G50" s="5" t="b">
        <v>1</v>
      </c>
      <c r="H50" s="5"/>
      <c r="I50" s="5"/>
      <c r="J50" s="5"/>
      <c r="K50" s="6" t="str">
        <f t="shared" si="1"/>
        <v>待填写</v>
      </c>
      <c r="L50" s="8" t="s">
        <v>104</v>
      </c>
    </row>
    <row r="51" spans="1:12" ht="72" customHeight="1">
      <c r="A51" s="6">
        <v>46</v>
      </c>
      <c r="B51" s="7" t="s">
        <v>105</v>
      </c>
      <c r="C51" s="5" t="s">
        <v>142</v>
      </c>
      <c r="D51" s="5" t="s">
        <v>276</v>
      </c>
      <c r="E51" s="9">
        <v>5</v>
      </c>
      <c r="F51" s="10">
        <v>-1</v>
      </c>
      <c r="G51" s="5" t="b">
        <v>1</v>
      </c>
      <c r="H51" s="5" t="s">
        <v>282</v>
      </c>
      <c r="I51" s="5"/>
      <c r="J51" s="5"/>
      <c r="K51" s="6" t="str">
        <f t="shared" si="1"/>
        <v>待填写</v>
      </c>
      <c r="L51" s="8" t="s">
        <v>106</v>
      </c>
    </row>
    <row r="52" spans="1:12" ht="72" customHeight="1">
      <c r="A52" s="6">
        <v>47</v>
      </c>
      <c r="B52" s="7" t="s">
        <v>107</v>
      </c>
      <c r="C52" s="5" t="s">
        <v>137</v>
      </c>
      <c r="D52" s="5" t="s">
        <v>276</v>
      </c>
      <c r="E52" s="9">
        <v>5</v>
      </c>
      <c r="F52" s="10">
        <v>-1</v>
      </c>
      <c r="G52" s="5" t="b">
        <v>1</v>
      </c>
      <c r="H52" s="5" t="s">
        <v>279</v>
      </c>
      <c r="I52" s="5"/>
      <c r="J52" s="5"/>
      <c r="K52" s="6" t="str">
        <f t="shared" si="1"/>
        <v>待填写</v>
      </c>
      <c r="L52" s="8" t="s">
        <v>108</v>
      </c>
    </row>
    <row r="53" spans="1:12" ht="72" customHeight="1">
      <c r="A53" s="6">
        <v>48</v>
      </c>
      <c r="B53" s="7" t="s">
        <v>109</v>
      </c>
      <c r="C53" s="5" t="s">
        <v>127</v>
      </c>
      <c r="D53" s="5" t="s">
        <v>276</v>
      </c>
      <c r="E53" s="9">
        <v>5</v>
      </c>
      <c r="F53" s="10">
        <v>-1</v>
      </c>
      <c r="G53" s="5" t="b">
        <v>1</v>
      </c>
      <c r="H53" s="5" t="s">
        <v>280</v>
      </c>
      <c r="I53" s="5"/>
      <c r="J53" s="5"/>
      <c r="K53" s="6" t="str">
        <f t="shared" si="1"/>
        <v>待填写</v>
      </c>
      <c r="L53" s="8" t="s">
        <v>110</v>
      </c>
    </row>
    <row r="54" spans="1:12" ht="72" customHeight="1">
      <c r="A54" s="6">
        <v>49</v>
      </c>
      <c r="B54" s="7" t="s">
        <v>111</v>
      </c>
      <c r="C54" s="5" t="s">
        <v>127</v>
      </c>
      <c r="D54" s="5" t="s">
        <v>275</v>
      </c>
      <c r="E54" s="14">
        <v>0</v>
      </c>
      <c r="F54" s="10">
        <v>1</v>
      </c>
      <c r="G54" s="5" t="b">
        <v>1</v>
      </c>
      <c r="H54" s="5" t="s">
        <v>282</v>
      </c>
      <c r="I54" s="5"/>
      <c r="J54" s="5"/>
      <c r="K54" s="6" t="str">
        <f t="shared" si="1"/>
        <v>待填写</v>
      </c>
      <c r="L54" s="8" t="s">
        <v>112</v>
      </c>
    </row>
    <row r="55" spans="1:12" ht="72" customHeight="1">
      <c r="A55" s="6">
        <v>50</v>
      </c>
      <c r="B55" s="7" t="s">
        <v>113</v>
      </c>
      <c r="C55" s="5" t="s">
        <v>142</v>
      </c>
      <c r="D55" s="5" t="s">
        <v>275</v>
      </c>
      <c r="E55" s="14">
        <v>0</v>
      </c>
      <c r="F55" s="10">
        <v>1</v>
      </c>
      <c r="G55" s="5" t="b">
        <v>1</v>
      </c>
      <c r="H55" s="5" t="s">
        <v>282</v>
      </c>
      <c r="I55" s="5"/>
      <c r="J55" s="5"/>
      <c r="K55" s="6" t="str">
        <f t="shared" si="1"/>
        <v>待填写</v>
      </c>
      <c r="L55" s="8" t="s">
        <v>114</v>
      </c>
    </row>
  </sheetData>
  <autoFilter ref="A1:L55" xr:uid="{00000000-0001-0000-0000-000000000000}"/>
  <conditionalFormatting sqref="K6:K55">
    <cfRule type="containsText" dxfId="0" priority="1" operator="containsText" text="已填齐"/>
  </conditionalFormatting>
  <dataValidations count="5">
    <dataValidation type="list" sqref="C6:C55" xr:uid="{00000000-0002-0000-0000-000000000000}">
      <formula1>"access,usability,playback,downloads,catalog,billing,support,other"</formula1>
    </dataValidation>
    <dataValidation type="list" sqref="D6:D55" xr:uid="{00000000-0002-0000-0000-000001000000}">
      <formula1>"cancellation,complaint,request,praise,unclear"</formula1>
    </dataValidation>
    <dataValidation type="list" sqref="G6:G55" xr:uid="{00000000-0002-0000-0000-000002000000}">
      <formula1>"true,false"</formula1>
    </dataValidation>
    <dataValidation type="list" sqref="E50:E53 E6:E48" xr:uid="{00000000-0002-0000-0000-000003000000}">
      <formula1>"1,2,3,4,5"</formula1>
    </dataValidation>
    <dataValidation type="decimal" sqref="F6:F55" xr:uid="{00000000-0002-0000-0000-000004000000}">
      <formula1>-1</formula1>
      <formula2>1</formula2>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2"/>
  <sheetViews>
    <sheetView showGridLines="0" workbookViewId="0"/>
  </sheetViews>
  <sheetFormatPr baseColWidth="10" defaultColWidth="8.83203125" defaultRowHeight="14"/>
  <cols>
    <col min="1" max="1" width="21" customWidth="1"/>
    <col min="2" max="2" width="72" customWidth="1"/>
    <col min="3" max="3" width="55" customWidth="1"/>
  </cols>
  <sheetData>
    <row r="1" spans="1:3" ht="30" customHeight="1">
      <c r="A1" s="2" t="s">
        <v>115</v>
      </c>
      <c r="B1" s="1"/>
      <c r="C1" s="1"/>
    </row>
    <row r="2" spans="1:3">
      <c r="A2" s="1"/>
      <c r="B2" s="1"/>
      <c r="C2" s="1"/>
    </row>
    <row r="3" spans="1:3" ht="34" customHeight="1">
      <c r="A3" s="4" t="s">
        <v>116</v>
      </c>
      <c r="B3" s="4" t="s">
        <v>117</v>
      </c>
      <c r="C3" s="4" t="s">
        <v>118</v>
      </c>
    </row>
    <row r="4" spans="1:3" ht="46" customHeight="1">
      <c r="A4" s="11" t="s">
        <v>119</v>
      </c>
      <c r="B4" s="3" t="s">
        <v>120</v>
      </c>
      <c r="C4" s="3" t="s">
        <v>121</v>
      </c>
    </row>
    <row r="5" spans="1:3" ht="46" customHeight="1">
      <c r="A5" s="11" t="s">
        <v>6</v>
      </c>
      <c r="B5" s="3" t="s">
        <v>122</v>
      </c>
      <c r="C5" s="3" t="s">
        <v>123</v>
      </c>
    </row>
    <row r="6" spans="1:3" ht="46" customHeight="1">
      <c r="A6" s="11" t="s">
        <v>124</v>
      </c>
      <c r="B6" s="3" t="s">
        <v>125</v>
      </c>
      <c r="C6" s="3" t="s">
        <v>126</v>
      </c>
    </row>
    <row r="7" spans="1:3" ht="46" customHeight="1">
      <c r="A7" s="11" t="s">
        <v>127</v>
      </c>
      <c r="B7" s="3" t="s">
        <v>128</v>
      </c>
      <c r="C7" s="3" t="s">
        <v>129</v>
      </c>
    </row>
    <row r="8" spans="1:3" ht="46" customHeight="1">
      <c r="A8" s="11" t="s">
        <v>130</v>
      </c>
      <c r="B8" s="3" t="s">
        <v>131</v>
      </c>
      <c r="C8" s="3" t="s">
        <v>132</v>
      </c>
    </row>
    <row r="9" spans="1:3" ht="46" customHeight="1">
      <c r="A9" s="11" t="s">
        <v>133</v>
      </c>
      <c r="B9" s="3" t="s">
        <v>134</v>
      </c>
      <c r="C9" s="3"/>
    </row>
    <row r="10" spans="1:3" ht="46" customHeight="1">
      <c r="A10" s="11" t="s">
        <v>135</v>
      </c>
      <c r="B10" s="3" t="s">
        <v>136</v>
      </c>
      <c r="C10" s="3"/>
    </row>
    <row r="11" spans="1:3" ht="46" customHeight="1">
      <c r="A11" s="11" t="s">
        <v>137</v>
      </c>
      <c r="B11" s="3" t="s">
        <v>138</v>
      </c>
      <c r="C11" s="3" t="s">
        <v>139</v>
      </c>
    </row>
    <row r="12" spans="1:3" ht="46" customHeight="1">
      <c r="A12" s="11" t="s">
        <v>140</v>
      </c>
      <c r="B12" s="3" t="s">
        <v>141</v>
      </c>
      <c r="C12" s="3"/>
    </row>
    <row r="13" spans="1:3" ht="46" customHeight="1">
      <c r="A13" s="11" t="s">
        <v>142</v>
      </c>
      <c r="B13" s="3" t="s">
        <v>143</v>
      </c>
      <c r="C13" s="3"/>
    </row>
    <row r="14" spans="1:3" ht="46" customHeight="1">
      <c r="A14" s="11" t="s">
        <v>7</v>
      </c>
      <c r="B14" s="3" t="s">
        <v>144</v>
      </c>
      <c r="C14" s="3" t="s">
        <v>145</v>
      </c>
    </row>
    <row r="15" spans="1:3" ht="46" customHeight="1">
      <c r="A15" s="11" t="s">
        <v>146</v>
      </c>
      <c r="B15" s="3" t="s">
        <v>147</v>
      </c>
      <c r="C15" s="3" t="s">
        <v>148</v>
      </c>
    </row>
    <row r="16" spans="1:3" ht="46" customHeight="1">
      <c r="A16" s="11" t="s">
        <v>149</v>
      </c>
      <c r="B16" s="3" t="s">
        <v>150</v>
      </c>
      <c r="C16" s="3" t="s">
        <v>151</v>
      </c>
    </row>
    <row r="17" spans="1:3" ht="46" customHeight="1">
      <c r="A17" s="11" t="s">
        <v>152</v>
      </c>
      <c r="B17" s="3" t="s">
        <v>153</v>
      </c>
      <c r="C17" s="3" t="s">
        <v>154</v>
      </c>
    </row>
    <row r="18" spans="1:3" ht="46" customHeight="1">
      <c r="A18" s="11" t="s">
        <v>155</v>
      </c>
      <c r="B18" s="3" t="s">
        <v>156</v>
      </c>
      <c r="C18" s="3"/>
    </row>
    <row r="19" spans="1:3" ht="46" customHeight="1">
      <c r="A19" s="11" t="s">
        <v>157</v>
      </c>
      <c r="B19" s="3" t="s">
        <v>158</v>
      </c>
      <c r="C19" s="3"/>
    </row>
    <row r="20" spans="1:3" ht="46" customHeight="1">
      <c r="A20" s="11" t="s">
        <v>159</v>
      </c>
      <c r="B20" s="3" t="s">
        <v>160</v>
      </c>
      <c r="C20" s="3" t="s">
        <v>161</v>
      </c>
    </row>
    <row r="21" spans="1:3" ht="46" customHeight="1">
      <c r="A21" s="11" t="s">
        <v>9</v>
      </c>
      <c r="B21" s="3" t="s">
        <v>162</v>
      </c>
      <c r="C21" s="3" t="s">
        <v>163</v>
      </c>
    </row>
    <row r="22" spans="1:3" ht="46" customHeight="1">
      <c r="A22" s="11" t="s">
        <v>10</v>
      </c>
      <c r="B22" s="3" t="s">
        <v>164</v>
      </c>
      <c r="C22" s="3" t="s">
        <v>165</v>
      </c>
    </row>
    <row r="23" spans="1:3" ht="46" customHeight="1">
      <c r="A23" s="11" t="s">
        <v>11</v>
      </c>
      <c r="B23" s="3" t="s">
        <v>166</v>
      </c>
      <c r="C23" s="3" t="s">
        <v>167</v>
      </c>
    </row>
    <row r="24" spans="1:3" ht="46" customHeight="1">
      <c r="A24" s="11" t="s">
        <v>12</v>
      </c>
      <c r="B24" s="3" t="s">
        <v>168</v>
      </c>
      <c r="C24" s="3" t="s">
        <v>169</v>
      </c>
    </row>
    <row r="25" spans="1:3" ht="46" customHeight="1">
      <c r="A25" s="11" t="s">
        <v>14</v>
      </c>
      <c r="B25" s="3" t="s">
        <v>170</v>
      </c>
      <c r="C25" s="3" t="s">
        <v>171</v>
      </c>
    </row>
    <row r="26" spans="1:3" ht="46" customHeight="1">
      <c r="A26" s="11" t="s">
        <v>172</v>
      </c>
      <c r="B26" s="3" t="s">
        <v>173</v>
      </c>
      <c r="C26" s="3" t="s">
        <v>174</v>
      </c>
    </row>
    <row r="27" spans="1:3" ht="46" customHeight="1">
      <c r="A27" s="11" t="s">
        <v>175</v>
      </c>
      <c r="B27" s="3" t="s">
        <v>176</v>
      </c>
      <c r="C27" s="3" t="s">
        <v>177</v>
      </c>
    </row>
    <row r="28" spans="1:3" ht="46" customHeight="1">
      <c r="A28" s="11" t="s">
        <v>178</v>
      </c>
      <c r="B28" s="3" t="s">
        <v>179</v>
      </c>
      <c r="C28" s="3" t="s">
        <v>180</v>
      </c>
    </row>
    <row r="29" spans="1:3" ht="46" customHeight="1">
      <c r="A29" s="11" t="s">
        <v>181</v>
      </c>
      <c r="B29" s="3" t="s">
        <v>182</v>
      </c>
      <c r="C29" s="3" t="s">
        <v>183</v>
      </c>
    </row>
    <row r="30" spans="1:3" ht="46" customHeight="1">
      <c r="A30" s="11"/>
      <c r="B30" s="3"/>
      <c r="C30" s="3"/>
    </row>
    <row r="31" spans="1:3" ht="46" customHeight="1">
      <c r="A31" s="11"/>
      <c r="B31" s="3"/>
      <c r="C31" s="3"/>
    </row>
    <row r="32" spans="1:3" ht="46" customHeight="1">
      <c r="A32" s="11"/>
      <c r="B32" s="3"/>
      <c r="C32"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1"/>
  <sheetViews>
    <sheetView showGridLines="0" workbookViewId="0">
      <pane ySplit="1" topLeftCell="A2" activePane="bottomLeft" state="frozen"/>
      <selection pane="bottomLeft"/>
    </sheetView>
  </sheetViews>
  <sheetFormatPr baseColWidth="10" defaultColWidth="8.83203125" defaultRowHeight="14"/>
  <cols>
    <col min="1" max="1" width="42" customWidth="1"/>
    <col min="2" max="2" width="75" customWidth="1"/>
    <col min="3" max="5" width="17" customWidth="1"/>
    <col min="6" max="6" width="24" customWidth="1"/>
  </cols>
  <sheetData>
    <row r="1" spans="1:6" ht="34" customHeight="1">
      <c r="A1" s="12" t="s">
        <v>15</v>
      </c>
      <c r="B1" s="12" t="s">
        <v>5</v>
      </c>
      <c r="C1" s="12" t="s">
        <v>184</v>
      </c>
      <c r="D1" s="12" t="s">
        <v>185</v>
      </c>
      <c r="E1" s="12" t="s">
        <v>186</v>
      </c>
      <c r="F1" s="12" t="s">
        <v>187</v>
      </c>
    </row>
    <row r="2" spans="1:6" ht="85" customHeight="1">
      <c r="A2" s="13" t="s">
        <v>17</v>
      </c>
      <c r="B2" s="13" t="s">
        <v>16</v>
      </c>
      <c r="C2" s="13" t="s">
        <v>188</v>
      </c>
      <c r="D2" s="13" t="s">
        <v>188</v>
      </c>
      <c r="E2" s="13" t="s">
        <v>189</v>
      </c>
      <c r="F2" s="13" t="s">
        <v>190</v>
      </c>
    </row>
    <row r="3" spans="1:6" ht="85" customHeight="1">
      <c r="A3" s="13" t="s">
        <v>19</v>
      </c>
      <c r="B3" s="13" t="s">
        <v>18</v>
      </c>
      <c r="C3" s="13" t="s">
        <v>191</v>
      </c>
      <c r="D3" s="13" t="s">
        <v>192</v>
      </c>
      <c r="E3" s="13" t="s">
        <v>193</v>
      </c>
      <c r="F3" s="13" t="s">
        <v>194</v>
      </c>
    </row>
    <row r="4" spans="1:6" ht="85" customHeight="1">
      <c r="A4" s="13" t="s">
        <v>21</v>
      </c>
      <c r="B4" s="13" t="s">
        <v>20</v>
      </c>
      <c r="C4" s="13" t="s">
        <v>191</v>
      </c>
      <c r="D4" s="13" t="s">
        <v>192</v>
      </c>
      <c r="E4" s="13" t="s">
        <v>195</v>
      </c>
      <c r="F4" s="13" t="s">
        <v>196</v>
      </c>
    </row>
    <row r="5" spans="1:6" ht="85" customHeight="1">
      <c r="A5" s="13" t="s">
        <v>23</v>
      </c>
      <c r="B5" s="13" t="s">
        <v>22</v>
      </c>
      <c r="C5" s="13" t="s">
        <v>188</v>
      </c>
      <c r="D5" s="13" t="s">
        <v>192</v>
      </c>
      <c r="E5" s="13" t="s">
        <v>197</v>
      </c>
      <c r="F5" s="13" t="s">
        <v>198</v>
      </c>
    </row>
    <row r="6" spans="1:6" ht="85" customHeight="1">
      <c r="A6" s="13" t="s">
        <v>25</v>
      </c>
      <c r="B6" s="13" t="s">
        <v>24</v>
      </c>
      <c r="C6" s="13" t="s">
        <v>191</v>
      </c>
      <c r="D6" s="13" t="s">
        <v>192</v>
      </c>
      <c r="E6" s="13" t="s">
        <v>199</v>
      </c>
      <c r="F6" s="13" t="s">
        <v>200</v>
      </c>
    </row>
    <row r="7" spans="1:6" ht="85" customHeight="1">
      <c r="A7" s="13" t="s">
        <v>27</v>
      </c>
      <c r="B7" s="13" t="s">
        <v>26</v>
      </c>
      <c r="C7" s="13" t="s">
        <v>188</v>
      </c>
      <c r="D7" s="13" t="s">
        <v>192</v>
      </c>
      <c r="E7" s="13"/>
      <c r="F7" s="13" t="s">
        <v>201</v>
      </c>
    </row>
    <row r="8" spans="1:6" ht="85" customHeight="1">
      <c r="A8" s="13" t="s">
        <v>29</v>
      </c>
      <c r="B8" s="13" t="s">
        <v>28</v>
      </c>
      <c r="C8" s="13" t="s">
        <v>191</v>
      </c>
      <c r="D8" s="13" t="s">
        <v>192</v>
      </c>
      <c r="E8" s="13" t="s">
        <v>202</v>
      </c>
      <c r="F8" s="13" t="s">
        <v>203</v>
      </c>
    </row>
    <row r="9" spans="1:6" ht="85" customHeight="1">
      <c r="A9" s="13" t="s">
        <v>31</v>
      </c>
      <c r="B9" s="13" t="s">
        <v>30</v>
      </c>
      <c r="C9" s="13" t="s">
        <v>191</v>
      </c>
      <c r="D9" s="13" t="s">
        <v>192</v>
      </c>
      <c r="E9" s="13"/>
      <c r="F9" s="13" t="s">
        <v>204</v>
      </c>
    </row>
    <row r="10" spans="1:6" ht="85" customHeight="1">
      <c r="A10" s="13" t="s">
        <v>33</v>
      </c>
      <c r="B10" s="13" t="s">
        <v>32</v>
      </c>
      <c r="C10" s="13" t="s">
        <v>191</v>
      </c>
      <c r="D10" s="13" t="s">
        <v>192</v>
      </c>
      <c r="E10" s="13" t="s">
        <v>205</v>
      </c>
      <c r="F10" s="13" t="s">
        <v>206</v>
      </c>
    </row>
    <row r="11" spans="1:6" ht="85" customHeight="1">
      <c r="A11" s="13" t="s">
        <v>35</v>
      </c>
      <c r="B11" s="13" t="s">
        <v>34</v>
      </c>
      <c r="C11" s="13" t="s">
        <v>191</v>
      </c>
      <c r="D11" s="13" t="s">
        <v>192</v>
      </c>
      <c r="E11" s="13" t="s">
        <v>207</v>
      </c>
      <c r="F11" s="13" t="s">
        <v>208</v>
      </c>
    </row>
    <row r="12" spans="1:6" ht="85" customHeight="1">
      <c r="A12" s="13" t="s">
        <v>37</v>
      </c>
      <c r="B12" s="13" t="s">
        <v>36</v>
      </c>
      <c r="C12" s="13" t="s">
        <v>209</v>
      </c>
      <c r="D12" s="13" t="s">
        <v>188</v>
      </c>
      <c r="E12" s="13" t="s">
        <v>210</v>
      </c>
      <c r="F12" s="13" t="s">
        <v>211</v>
      </c>
    </row>
    <row r="13" spans="1:6" ht="85" customHeight="1">
      <c r="A13" s="13" t="s">
        <v>39</v>
      </c>
      <c r="B13" s="13" t="s">
        <v>38</v>
      </c>
      <c r="C13" s="13" t="s">
        <v>191</v>
      </c>
      <c r="D13" s="13" t="s">
        <v>212</v>
      </c>
      <c r="E13" s="13" t="s">
        <v>213</v>
      </c>
      <c r="F13" s="13" t="s">
        <v>214</v>
      </c>
    </row>
    <row r="14" spans="1:6" ht="85" customHeight="1">
      <c r="A14" s="13" t="s">
        <v>41</v>
      </c>
      <c r="B14" s="13" t="s">
        <v>40</v>
      </c>
      <c r="C14" s="13" t="s">
        <v>188</v>
      </c>
      <c r="D14" s="13" t="s">
        <v>192</v>
      </c>
      <c r="E14" s="13"/>
      <c r="F14" s="13" t="s">
        <v>215</v>
      </c>
    </row>
    <row r="15" spans="1:6" ht="85" customHeight="1">
      <c r="A15" s="13" t="s">
        <v>43</v>
      </c>
      <c r="B15" s="13" t="s">
        <v>42</v>
      </c>
      <c r="C15" s="13" t="s">
        <v>191</v>
      </c>
      <c r="D15" s="13" t="s">
        <v>192</v>
      </c>
      <c r="E15" s="13" t="s">
        <v>216</v>
      </c>
      <c r="F15" s="13" t="s">
        <v>217</v>
      </c>
    </row>
    <row r="16" spans="1:6" ht="85" customHeight="1">
      <c r="A16" s="13" t="s">
        <v>45</v>
      </c>
      <c r="B16" s="13" t="s">
        <v>44</v>
      </c>
      <c r="C16" s="13" t="s">
        <v>191</v>
      </c>
      <c r="D16" s="13" t="s">
        <v>192</v>
      </c>
      <c r="E16" s="13"/>
      <c r="F16" s="13" t="s">
        <v>218</v>
      </c>
    </row>
    <row r="17" spans="1:6" ht="85" customHeight="1">
      <c r="A17" s="13" t="s">
        <v>47</v>
      </c>
      <c r="B17" s="13" t="s">
        <v>46</v>
      </c>
      <c r="C17" s="13" t="s">
        <v>219</v>
      </c>
      <c r="D17" s="13" t="s">
        <v>192</v>
      </c>
      <c r="E17" s="13" t="s">
        <v>220</v>
      </c>
      <c r="F17" s="13" t="s">
        <v>221</v>
      </c>
    </row>
    <row r="18" spans="1:6" ht="85" customHeight="1">
      <c r="A18" s="13" t="s">
        <v>49</v>
      </c>
      <c r="B18" s="13" t="s">
        <v>48</v>
      </c>
      <c r="C18" s="13" t="s">
        <v>191</v>
      </c>
      <c r="D18" s="13" t="s">
        <v>192</v>
      </c>
      <c r="E18" s="13"/>
      <c r="F18" s="13" t="s">
        <v>222</v>
      </c>
    </row>
    <row r="19" spans="1:6" ht="85" customHeight="1">
      <c r="A19" s="13" t="s">
        <v>51</v>
      </c>
      <c r="B19" s="13" t="s">
        <v>50</v>
      </c>
      <c r="C19" s="13" t="s">
        <v>188</v>
      </c>
      <c r="D19" s="13" t="s">
        <v>192</v>
      </c>
      <c r="E19" s="13" t="s">
        <v>223</v>
      </c>
      <c r="F19" s="13" t="s">
        <v>224</v>
      </c>
    </row>
    <row r="20" spans="1:6" ht="85" customHeight="1">
      <c r="A20" s="13" t="s">
        <v>53</v>
      </c>
      <c r="B20" s="13" t="s">
        <v>52</v>
      </c>
      <c r="C20" s="13" t="s">
        <v>188</v>
      </c>
      <c r="D20" s="13" t="s">
        <v>192</v>
      </c>
      <c r="E20" s="13" t="s">
        <v>225</v>
      </c>
      <c r="F20" s="13" t="s">
        <v>226</v>
      </c>
    </row>
    <row r="21" spans="1:6" ht="85" customHeight="1">
      <c r="A21" s="13" t="s">
        <v>55</v>
      </c>
      <c r="B21" s="13" t="s">
        <v>54</v>
      </c>
      <c r="C21" s="13" t="s">
        <v>188</v>
      </c>
      <c r="D21" s="13" t="s">
        <v>192</v>
      </c>
      <c r="E21" s="13"/>
      <c r="F21" s="13" t="s">
        <v>227</v>
      </c>
    </row>
    <row r="22" spans="1:6" ht="85" customHeight="1">
      <c r="A22" s="13" t="s">
        <v>57</v>
      </c>
      <c r="B22" s="13" t="s">
        <v>56</v>
      </c>
      <c r="C22" s="13" t="s">
        <v>188</v>
      </c>
      <c r="D22" s="13" t="s">
        <v>192</v>
      </c>
      <c r="E22" s="13" t="s">
        <v>228</v>
      </c>
      <c r="F22" s="13" t="s">
        <v>229</v>
      </c>
    </row>
    <row r="23" spans="1:6" ht="85" customHeight="1">
      <c r="A23" s="13" t="s">
        <v>59</v>
      </c>
      <c r="B23" s="13" t="s">
        <v>58</v>
      </c>
      <c r="C23" s="13" t="s">
        <v>191</v>
      </c>
      <c r="D23" s="13" t="s">
        <v>192</v>
      </c>
      <c r="E23" s="13" t="s">
        <v>230</v>
      </c>
      <c r="F23" s="13" t="s">
        <v>231</v>
      </c>
    </row>
    <row r="24" spans="1:6" ht="85" customHeight="1">
      <c r="A24" s="13" t="s">
        <v>61</v>
      </c>
      <c r="B24" s="13" t="s">
        <v>60</v>
      </c>
      <c r="C24" s="13" t="s">
        <v>191</v>
      </c>
      <c r="D24" s="13" t="s">
        <v>192</v>
      </c>
      <c r="E24" s="13" t="s">
        <v>220</v>
      </c>
      <c r="F24" s="13" t="s">
        <v>232</v>
      </c>
    </row>
    <row r="25" spans="1:6" ht="85" customHeight="1">
      <c r="A25" s="13" t="s">
        <v>63</v>
      </c>
      <c r="B25" s="13" t="s">
        <v>62</v>
      </c>
      <c r="C25" s="13" t="s">
        <v>188</v>
      </c>
      <c r="D25" s="13" t="s">
        <v>188</v>
      </c>
      <c r="E25" s="13" t="s">
        <v>233</v>
      </c>
      <c r="F25" s="13" t="s">
        <v>234</v>
      </c>
    </row>
    <row r="26" spans="1:6" ht="85" customHeight="1">
      <c r="A26" s="13" t="s">
        <v>65</v>
      </c>
      <c r="B26" s="13" t="s">
        <v>64</v>
      </c>
      <c r="C26" s="13" t="s">
        <v>188</v>
      </c>
      <c r="D26" s="13" t="s">
        <v>192</v>
      </c>
      <c r="E26" s="13" t="s">
        <v>235</v>
      </c>
      <c r="F26" s="13" t="s">
        <v>236</v>
      </c>
    </row>
    <row r="27" spans="1:6" ht="85" customHeight="1">
      <c r="A27" s="13" t="s">
        <v>67</v>
      </c>
      <c r="B27" s="13" t="s">
        <v>66</v>
      </c>
      <c r="C27" s="13" t="s">
        <v>191</v>
      </c>
      <c r="D27" s="13" t="s">
        <v>192</v>
      </c>
      <c r="E27" s="13" t="s">
        <v>207</v>
      </c>
      <c r="F27" s="13" t="s">
        <v>237</v>
      </c>
    </row>
    <row r="28" spans="1:6" ht="85" customHeight="1">
      <c r="A28" s="13" t="s">
        <v>69</v>
      </c>
      <c r="B28" s="13" t="s">
        <v>68</v>
      </c>
      <c r="C28" s="13" t="s">
        <v>188</v>
      </c>
      <c r="D28" s="13" t="s">
        <v>192</v>
      </c>
      <c r="E28" s="13"/>
      <c r="F28" s="13" t="s">
        <v>238</v>
      </c>
    </row>
    <row r="29" spans="1:6" ht="85" customHeight="1">
      <c r="A29" s="13" t="s">
        <v>71</v>
      </c>
      <c r="B29" s="13" t="s">
        <v>70</v>
      </c>
      <c r="C29" s="13" t="s">
        <v>191</v>
      </c>
      <c r="D29" s="13" t="s">
        <v>192</v>
      </c>
      <c r="E29" s="13" t="s">
        <v>216</v>
      </c>
      <c r="F29" s="13" t="s">
        <v>239</v>
      </c>
    </row>
    <row r="30" spans="1:6" ht="85" customHeight="1">
      <c r="A30" s="13" t="s">
        <v>73</v>
      </c>
      <c r="B30" s="13" t="s">
        <v>72</v>
      </c>
      <c r="C30" s="13" t="s">
        <v>188</v>
      </c>
      <c r="D30" s="13" t="s">
        <v>188</v>
      </c>
      <c r="E30" s="13" t="s">
        <v>195</v>
      </c>
      <c r="F30" s="13" t="s">
        <v>240</v>
      </c>
    </row>
    <row r="31" spans="1:6" ht="85" customHeight="1">
      <c r="A31" s="13" t="s">
        <v>75</v>
      </c>
      <c r="B31" s="13" t="s">
        <v>74</v>
      </c>
      <c r="C31" s="13" t="s">
        <v>188</v>
      </c>
      <c r="D31" s="13" t="s">
        <v>188</v>
      </c>
      <c r="E31" s="13" t="s">
        <v>241</v>
      </c>
      <c r="F31" s="13" t="s">
        <v>242</v>
      </c>
    </row>
    <row r="32" spans="1:6" ht="85" customHeight="1">
      <c r="A32" s="13" t="s">
        <v>77</v>
      </c>
      <c r="B32" s="13" t="s">
        <v>76</v>
      </c>
      <c r="C32" s="13" t="s">
        <v>188</v>
      </c>
      <c r="D32" s="13" t="s">
        <v>192</v>
      </c>
      <c r="E32" s="13"/>
      <c r="F32" s="13" t="s">
        <v>243</v>
      </c>
    </row>
    <row r="33" spans="1:6" ht="85" customHeight="1">
      <c r="A33" s="13" t="s">
        <v>79</v>
      </c>
      <c r="B33" s="13" t="s">
        <v>78</v>
      </c>
      <c r="C33" s="13" t="s">
        <v>188</v>
      </c>
      <c r="D33" s="13" t="s">
        <v>192</v>
      </c>
      <c r="E33" s="13" t="s">
        <v>244</v>
      </c>
      <c r="F33" s="13" t="s">
        <v>245</v>
      </c>
    </row>
    <row r="34" spans="1:6" ht="85" customHeight="1">
      <c r="A34" s="13" t="s">
        <v>81</v>
      </c>
      <c r="B34" s="13" t="s">
        <v>80</v>
      </c>
      <c r="C34" s="13" t="s">
        <v>188</v>
      </c>
      <c r="D34" s="13" t="s">
        <v>188</v>
      </c>
      <c r="E34" s="13" t="s">
        <v>246</v>
      </c>
      <c r="F34" s="13" t="s">
        <v>247</v>
      </c>
    </row>
    <row r="35" spans="1:6" ht="85" customHeight="1">
      <c r="A35" s="13" t="s">
        <v>83</v>
      </c>
      <c r="B35" s="13" t="s">
        <v>82</v>
      </c>
      <c r="C35" s="13" t="s">
        <v>191</v>
      </c>
      <c r="D35" s="13" t="s">
        <v>192</v>
      </c>
      <c r="E35" s="13" t="s">
        <v>248</v>
      </c>
      <c r="F35" s="13" t="s">
        <v>249</v>
      </c>
    </row>
    <row r="36" spans="1:6" ht="85" customHeight="1">
      <c r="A36" s="13" t="s">
        <v>85</v>
      </c>
      <c r="B36" s="13" t="s">
        <v>84</v>
      </c>
      <c r="C36" s="13" t="s">
        <v>191</v>
      </c>
      <c r="D36" s="13" t="s">
        <v>192</v>
      </c>
      <c r="E36" s="13" t="s">
        <v>250</v>
      </c>
      <c r="F36" s="13" t="s">
        <v>251</v>
      </c>
    </row>
    <row r="37" spans="1:6" ht="85" customHeight="1">
      <c r="A37" s="13" t="s">
        <v>87</v>
      </c>
      <c r="B37" s="13" t="s">
        <v>86</v>
      </c>
      <c r="C37" s="13" t="s">
        <v>191</v>
      </c>
      <c r="D37" s="13" t="s">
        <v>192</v>
      </c>
      <c r="E37" s="13"/>
      <c r="F37" s="13" t="s">
        <v>252</v>
      </c>
    </row>
    <row r="38" spans="1:6" ht="85" customHeight="1">
      <c r="A38" s="13" t="s">
        <v>89</v>
      </c>
      <c r="B38" s="13" t="s">
        <v>88</v>
      </c>
      <c r="C38" s="13" t="s">
        <v>219</v>
      </c>
      <c r="D38" s="13" t="s">
        <v>192</v>
      </c>
      <c r="E38" s="13" t="s">
        <v>253</v>
      </c>
      <c r="F38" s="13" t="s">
        <v>254</v>
      </c>
    </row>
    <row r="39" spans="1:6" ht="85" customHeight="1">
      <c r="A39" s="13" t="s">
        <v>91</v>
      </c>
      <c r="B39" s="13" t="s">
        <v>90</v>
      </c>
      <c r="C39" s="13" t="s">
        <v>188</v>
      </c>
      <c r="D39" s="13" t="s">
        <v>188</v>
      </c>
      <c r="E39" s="13" t="s">
        <v>197</v>
      </c>
      <c r="F39" s="13" t="s">
        <v>255</v>
      </c>
    </row>
    <row r="40" spans="1:6" ht="85" customHeight="1">
      <c r="A40" s="13" t="s">
        <v>93</v>
      </c>
      <c r="B40" s="13" t="s">
        <v>92</v>
      </c>
      <c r="C40" s="13" t="s">
        <v>219</v>
      </c>
      <c r="D40" s="13" t="s">
        <v>192</v>
      </c>
      <c r="E40" s="13" t="s">
        <v>223</v>
      </c>
      <c r="F40" s="13" t="s">
        <v>256</v>
      </c>
    </row>
    <row r="41" spans="1:6" ht="85" customHeight="1">
      <c r="A41" s="13" t="s">
        <v>94</v>
      </c>
      <c r="B41" s="13" t="s">
        <v>84</v>
      </c>
      <c r="C41" s="13" t="s">
        <v>191</v>
      </c>
      <c r="D41" s="13" t="s">
        <v>192</v>
      </c>
      <c r="E41" s="13" t="s">
        <v>257</v>
      </c>
      <c r="F41" s="13" t="s">
        <v>258</v>
      </c>
    </row>
    <row r="42" spans="1:6" ht="85" customHeight="1">
      <c r="A42" s="13" t="s">
        <v>96</v>
      </c>
      <c r="B42" s="13" t="s">
        <v>95</v>
      </c>
      <c r="C42" s="13" t="s">
        <v>191</v>
      </c>
      <c r="D42" s="13" t="s">
        <v>192</v>
      </c>
      <c r="E42" s="13" t="s">
        <v>259</v>
      </c>
      <c r="F42" s="13" t="s">
        <v>260</v>
      </c>
    </row>
    <row r="43" spans="1:6" ht="85" customHeight="1">
      <c r="A43" s="13" t="s">
        <v>98</v>
      </c>
      <c r="B43" s="13" t="s">
        <v>97</v>
      </c>
      <c r="C43" s="13" t="s">
        <v>188</v>
      </c>
      <c r="D43" s="13" t="s">
        <v>192</v>
      </c>
      <c r="E43" s="13"/>
      <c r="F43" s="13" t="s">
        <v>261</v>
      </c>
    </row>
    <row r="44" spans="1:6" ht="85" customHeight="1">
      <c r="A44" s="13" t="s">
        <v>100</v>
      </c>
      <c r="B44" s="13" t="s">
        <v>99</v>
      </c>
      <c r="C44" s="13" t="s">
        <v>188</v>
      </c>
      <c r="D44" s="13" t="s">
        <v>192</v>
      </c>
      <c r="E44" s="13"/>
      <c r="F44" s="13" t="s">
        <v>262</v>
      </c>
    </row>
    <row r="45" spans="1:6" ht="85" customHeight="1">
      <c r="A45" s="13" t="s">
        <v>102</v>
      </c>
      <c r="B45" s="13" t="s">
        <v>101</v>
      </c>
      <c r="C45" s="13" t="s">
        <v>191</v>
      </c>
      <c r="D45" s="13" t="s">
        <v>192</v>
      </c>
      <c r="E45" s="13" t="s">
        <v>263</v>
      </c>
      <c r="F45" s="13" t="s">
        <v>264</v>
      </c>
    </row>
    <row r="46" spans="1:6" ht="85" customHeight="1">
      <c r="A46" s="13" t="s">
        <v>104</v>
      </c>
      <c r="B46" s="13" t="s">
        <v>103</v>
      </c>
      <c r="C46" s="13" t="s">
        <v>265</v>
      </c>
      <c r="D46" s="13" t="s">
        <v>192</v>
      </c>
      <c r="E46" s="13" t="s">
        <v>210</v>
      </c>
      <c r="F46" s="13" t="s">
        <v>266</v>
      </c>
    </row>
    <row r="47" spans="1:6" ht="85" customHeight="1">
      <c r="A47" s="13" t="s">
        <v>106</v>
      </c>
      <c r="B47" s="13" t="s">
        <v>105</v>
      </c>
      <c r="C47" s="13" t="s">
        <v>188</v>
      </c>
      <c r="D47" s="13" t="s">
        <v>192</v>
      </c>
      <c r="E47" s="13" t="s">
        <v>267</v>
      </c>
      <c r="F47" s="13" t="s">
        <v>268</v>
      </c>
    </row>
    <row r="48" spans="1:6" ht="85" customHeight="1">
      <c r="A48" s="13" t="s">
        <v>108</v>
      </c>
      <c r="B48" s="13" t="s">
        <v>107</v>
      </c>
      <c r="C48" s="13" t="s">
        <v>188</v>
      </c>
      <c r="D48" s="13" t="s">
        <v>219</v>
      </c>
      <c r="E48" s="13" t="s">
        <v>246</v>
      </c>
      <c r="F48" s="13" t="s">
        <v>269</v>
      </c>
    </row>
    <row r="49" spans="1:6" ht="85" customHeight="1">
      <c r="A49" s="13" t="s">
        <v>110</v>
      </c>
      <c r="B49" s="13" t="s">
        <v>109</v>
      </c>
      <c r="C49" s="13" t="s">
        <v>188</v>
      </c>
      <c r="D49" s="13" t="s">
        <v>188</v>
      </c>
      <c r="E49" s="13"/>
      <c r="F49" s="13" t="s">
        <v>270</v>
      </c>
    </row>
    <row r="50" spans="1:6" ht="85" customHeight="1">
      <c r="A50" s="13" t="s">
        <v>112</v>
      </c>
      <c r="B50" s="13" t="s">
        <v>111</v>
      </c>
      <c r="C50" s="13" t="s">
        <v>219</v>
      </c>
      <c r="D50" s="13" t="s">
        <v>192</v>
      </c>
      <c r="E50" s="13" t="s">
        <v>205</v>
      </c>
      <c r="F50" s="13" t="s">
        <v>271</v>
      </c>
    </row>
    <row r="51" spans="1:6" ht="85" customHeight="1">
      <c r="A51" s="13" t="s">
        <v>114</v>
      </c>
      <c r="B51" s="13" t="s">
        <v>113</v>
      </c>
      <c r="C51" s="13" t="s">
        <v>209</v>
      </c>
      <c r="D51" s="13" t="s">
        <v>192</v>
      </c>
      <c r="E51" s="13" t="s">
        <v>272</v>
      </c>
      <c r="F51" s="13" t="s">
        <v>273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标注</vt:lpstr>
      <vt:lpstr>填写说明</vt:lpstr>
      <vt:lpstr>原始数据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Jenna Wang</cp:lastModifiedBy>
  <dcterms:created xsi:type="dcterms:W3CDTF">2026-10-20T01:52:54Z</dcterms:created>
  <dcterms:modified xsi:type="dcterms:W3CDTF">2026-10-20T01:53:45Z</dcterms:modified>
</cp:coreProperties>
</file>